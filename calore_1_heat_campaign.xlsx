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ophies &amp; Lore" sheetId="1" r:id="rId5"/>
    <sheet state="visible" name="1961 Driver Lineup" sheetId="2" r:id="rId6"/>
    <sheet state="visible" name="1961 Season Overview" sheetId="3" r:id="rId7"/>
    <sheet state="visible" name="1961 Technical Regulations" sheetId="4" r:id="rId8"/>
    <sheet state="visible" name="FICC Backlog" sheetId="5" r:id="rId9"/>
    <sheet state="visible" name="1961 Championship Standings" sheetId="6" r:id="rId10"/>
    <sheet state="visible" name="Inventory" sheetId="7" r:id="rId11"/>
    <sheet state="visible" name="Upgrade Tracker" sheetId="8" r:id="rId12"/>
    <sheet state="visible" name="Hall of Fame" sheetId="9" r:id="rId13"/>
    <sheet state="visible" name="Off-Season Budget" sheetId="10" r:id="rId14"/>
  </sheets>
  <definedNames>
    <definedName hidden="1" localSheetId="6" name="_xlnm._FilterDatabase">Inventory!$A$1:$F$67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tc={f043fc1f-9594-4f15-af52-96490f3143de}</author>
  </authors>
  <commentList>
    <comment authorId="0" xr:uid="{f043fc1f-9594-4f15-af52-96490f3143de}" ref="B19">
      <text>
        <t xml:space="preserve">[Threaded comment]
 Your version of Excel allows you to read this threaded comment; however, any edits to it will get removed if the file is opened in a newer version of Excel. Learn more: https://go.microsoft.com/fwlink/?linkid=870924
Comment:
	Where Count Dragula
Reply:
	That will be our character creation. I'll make a sheet for our character backstories
</t>
      </text>
    </comment>
  </commentList>
</comments>
</file>

<file path=xl/sharedStrings.xml><?xml version="1.0" encoding="utf-8"?>
<sst xmlns="http://schemas.openxmlformats.org/spreadsheetml/2006/main" count="477" uniqueCount="283">
  <si>
    <t>HEAT CAMPAIGN — LORE &amp; TROPHY REGISTRY</t>
  </si>
  <si>
    <t>HEAT: PEDAL TO THE METAL — CAMPAIGN SEASON OVERVIEW</t>
  </si>
  <si>
    <t>LEAGUE NAME</t>
  </si>
  <si>
    <t>SEASON INFORMATION</t>
  </si>
  <si>
    <t>Calore 1 (C1)</t>
  </si>
  <si>
    <t>GOVERNING BODY</t>
  </si>
  <si>
    <t>Player</t>
  </si>
  <si>
    <t>Federazione Internazionale delle Competizioni di Calore (FICC)</t>
  </si>
  <si>
    <t>Season number</t>
  </si>
  <si>
    <t>FOUNDED</t>
  </si>
  <si>
    <t>1961 — following a controversial rules dispute with the establishment of the "Intercontinental Race Series" (IRS)</t>
  </si>
  <si>
    <t>1</t>
  </si>
  <si>
    <t>LEAGUE MOTTO</t>
  </si>
  <si>
    <t>Win at All Costs</t>
  </si>
  <si>
    <t>Races this season</t>
  </si>
  <si>
    <t>Driver</t>
  </si>
  <si>
    <t>4</t>
  </si>
  <si>
    <t>Upgrade slots this season</t>
  </si>
  <si>
    <t>Car Color</t>
  </si>
  <si>
    <t>DRIVER'S TROPHY</t>
  </si>
  <si>
    <t>3</t>
  </si>
  <si>
    <t>Team Name</t>
  </si>
  <si>
    <t>The Axle Carbone Trophy</t>
  </si>
  <si>
    <t>Track selection method</t>
  </si>
  <si>
    <t>Regulation Name</t>
  </si>
  <si>
    <t>Backstory</t>
  </si>
  <si>
    <t>FICC Vote</t>
  </si>
  <si>
    <t>AWARDED TO</t>
  </si>
  <si>
    <t>The season's top individual driver — Driver's Championship winner</t>
  </si>
  <si>
    <t>Mid-season break after race #</t>
  </si>
  <si>
    <t>ABOUT AXLE CARBONE</t>
  </si>
  <si>
    <t>Legends</t>
  </si>
  <si>
    <t xml:space="preserve">Axle Carbone was born in 1927 in a small garage town outside Lyon, France, the son of a mechanic who never once let him sit still. By nineteen he was racing anything with an engine; by twenty-four he had won back-to-back Intercontinental championships in the IRS's founding seasons of 1950 and 1951. He was famous for two things: an uncanny ability to nurse a damaged car to the finish line, and a complete refusal to pit when the strategy called for it. "The track is where races are won," he said once. "The pits are where they are lost." He retired abruptly after the 1955 season with four championships to his name — some say after a falling-out with the IRS stewards over a disputed penalty at the Monte Circuit finale, a race he crossed first but was stripped of on a technicality. He never spoke publicly about it. After a rules dispute at the end of the 1960 season, a contingent of drivers and teams broke off from IRS and created the Calore 1 (C1) racing series. They named the driver's championship trophy the Alex Carbnone Cup. The trophy carries his initials — A.C. — stamped into the base in carbon steel. Carbone, having bitterly retired in 1955, agreed to join C1, lining up on the grid as a worldwide legend. </t>
  </si>
  <si>
    <t>Eric Maras</t>
  </si>
  <si>
    <t>Regulation Type</t>
  </si>
  <si>
    <t>No</t>
  </si>
  <si>
    <t>Anders Snabb</t>
  </si>
  <si>
    <t>Base Team Budget</t>
  </si>
  <si>
    <t>Explanation</t>
  </si>
  <si>
    <t>Silver</t>
  </si>
  <si>
    <t>CONSTRUCTOR'S TROPHY</t>
  </si>
  <si>
    <t>Expiration</t>
  </si>
  <si>
    <t>FjordFart</t>
  </si>
  <si>
    <t>The Lucca Pistone Constructor's Cup</t>
  </si>
  <si>
    <t>RACE SCHEDULE</t>
  </si>
  <si>
    <t>Anders grew up a car fanatic. As a child, all he played with were toy cars. He used to race little derby cars with his friends, often throwing massive fits if his cars did not win. He started karting at the age of four, and he won the Swedish Karting Championship as a nine year old. His father and mother both served as an inspiration for his racing career. They both met working as mechanics in a local garage in the outskirts of Stockholm. Anders has competed in many regional race series, including rally car. He is excited for his rookie season in the World Grand Prix Series, and he brings an icy cool persona that sometimes shoots up in flames if he doesn't win.</t>
  </si>
  <si>
    <t>The top team each season — Constructor's Championship winner</t>
  </si>
  <si>
    <t>Upgrade Availability</t>
  </si>
  <si>
    <t>Race #</t>
  </si>
  <si>
    <t>ABOUT LUCCA PISTONE</t>
  </si>
  <si>
    <t>Daniel Yun</t>
  </si>
  <si>
    <t>Track</t>
  </si>
  <si>
    <t>Restriction</t>
  </si>
  <si>
    <t>Count Dragula</t>
  </si>
  <si>
    <t>No upgrades from the S, A, and B tiers are allowed - they have not been developed yet</t>
  </si>
  <si>
    <t>Mexico</t>
  </si>
  <si>
    <t>Black</t>
  </si>
  <si>
    <t>Expires after the 1961 season - a vote will be held by the FICC</t>
  </si>
  <si>
    <t>Germany</t>
  </si>
  <si>
    <t>Blüd Bath</t>
  </si>
  <si>
    <t>South Africa</t>
  </si>
  <si>
    <t>Hailing from the gloomy forests of Transmissionylvania, Count Dragula was groomed by his father, Baron Victorque of Carovia to continue the legacy of Transmissionylvania's prestigious racing tradition. Dragula is an aggressive, cunning driver who's out for blood and eager to prove himself in the international circuit after dominating the Transmissionylvanian Blood Chalice the last three years running. He enjoys long walks in the graveyard, hates garlic, and donates all his winnings to and volunteers at animal shelters in his hometown</t>
  </si>
  <si>
    <t>Lucca Pistone never drove a competitive lap in his life, and he would have been the first to tell you so. An Italian engineer from Forli, he arrived at the ISR's inaugural season in 1950 as a car builder — and within three years his cars had won everything worth winning. His philosophy was obsessive: every component had a purpose, every gram of weight had to earn its place, and the piston was his personal symbol — he saw it as the essence of engineering, raw power and force that is the key component to an engine. He built cars for Axle Carbone's championship runs and later for three other title winners. He died in 1960 during a pre-season test when a fuel line failed — characteristically, the investigation found the failure was in a component he had explicitly flagged for replacement the week before and been overruled on by the team's financiers. The Constructor's Cup was renamed in his honor that same year. Teams who win it receive a trophy fitted with a piston atop it.</t>
  </si>
  <si>
    <t>France</t>
  </si>
  <si>
    <t>BACKSTORY NOTE</t>
  </si>
  <si>
    <t>Evan Keane</t>
  </si>
  <si>
    <t>Each team can only have three upgrade cards</t>
  </si>
  <si>
    <t>Pistone built Carbone's championship cars. The two trophies exist in the same universe — their stories are inseparable. Winning both in the same season is considered the World Racing Grand Slam, an achievement no driver or team has ever managed.</t>
  </si>
  <si>
    <t>Horace Bauer</t>
  </si>
  <si>
    <t>Blue</t>
  </si>
  <si>
    <t>Vroom</t>
  </si>
  <si>
    <t>Horace raced shopping carts down parking garage ramps for a decade, and F1 scouts figured anyone who could hit 35 mph in a cart with 2 bad wheels deserved a real car.</t>
  </si>
  <si>
    <t>Blake Roberts</t>
  </si>
  <si>
    <t>Each team can only have one of each upgrade type</t>
  </si>
  <si>
    <t>Jean Girard</t>
  </si>
  <si>
    <t>Driver Funding</t>
  </si>
  <si>
    <t>Green</t>
  </si>
  <si>
    <t>Funding</t>
  </si>
  <si>
    <t>Perrier</t>
  </si>
  <si>
    <t>Each team is given 15 million dollars to develop their car</t>
  </si>
  <si>
    <t>My name is Jean Girard and I am a racing-car driver just like you except I am from Formula Un. I am the greatest one in the whole world. I have been following your career with great interest, Monsieur Bobby.</t>
  </si>
  <si>
    <t>Mid-Season Catch-up</t>
  </si>
  <si>
    <t>Dallas Manaker</t>
  </si>
  <si>
    <t>The bottom 3 teams in the standings at the middle of the season break are awarded an additional 3 million in funding and can swap up to two of their upgrades</t>
  </si>
  <si>
    <t>"Caveman" Dale Mercer</t>
  </si>
  <si>
    <t>Sponsor Budget</t>
  </si>
  <si>
    <t>Yellow</t>
  </si>
  <si>
    <t>Team Neandrathal</t>
  </si>
  <si>
    <t>Sponsors can fund up to 5 million dollars per team</t>
  </si>
  <si>
    <t>Fuel Type</t>
  </si>
  <si>
    <t>Only standard fuel is allowed for vehicles - all vehicles must run the same fuel</t>
  </si>
  <si>
    <t>Dale Mercer didn’t choose racing—racing happened to him the same way spilled beer “happens” to a carpet: suddenly, everywhere, and you can’t pretend it didn’t. He “learned” driving from late-night YouTube, a questionable steering wheel he bought off a guy who claimed it was “basically brand new,” and a lifelong belief that the fastest line is the one that makes other people blink first. His crew says he’s smooth; Dale says smooth is for people who don’t enjoy the sound of tires protesting. Every night he straps in like a menace, shouts nonsense at the speedometer, and treats broken tactics as “character building.” Hunt-level swagger, but with more dirt under the nails and less patience for anyone who says, “Maybe lift a bit.”</t>
  </si>
  <si>
    <t>Rosaria Thea Cali</t>
  </si>
  <si>
    <t>Champion's Gold Wrench Veto</t>
  </si>
  <si>
    <t>Benefit</t>
  </si>
  <si>
    <t>Circe Belladonna</t>
  </si>
  <si>
    <t>The champion of a season can veto one new FICC rule proposal - this includes changes to an existing rule or a new rule</t>
  </si>
  <si>
    <t>Purple</t>
  </si>
  <si>
    <t>Piggie</t>
  </si>
  <si>
    <t>Expires after the 1962 season - a vote will be held by the FICC</t>
  </si>
  <si>
    <t>Circe was once peacefully living on her private island, turning rude men into pigs and enjoying a normal, healthy amount of wine, when she discovered an even better hobby: ruining men’s confidence on the racetrack.  Rivals claim her purple car smells faintly of herbs, seawater, and bad decisions. Circe denies using magic during races, though several drivers have mysteriously started oinking after trying to pass her. Her goal this season is simple: win the championship, humiliate the arrogant, and maybe turn one or two team principals into livestock if the mood is right.</t>
  </si>
  <si>
    <t>Post-Season Funding Award</t>
  </si>
  <si>
    <t>Dan Newcomer</t>
  </si>
  <si>
    <t>TBD - after the season, it must be decided how funding will be awarded to teams in the 1962 season</t>
  </si>
  <si>
    <t>Mr. Pink</t>
  </si>
  <si>
    <t>N/A</t>
  </si>
  <si>
    <t>Orange</t>
  </si>
  <si>
    <t>Team No Tip</t>
  </si>
  <si>
    <t>Team Car Allowance</t>
  </si>
  <si>
    <t>Mr. Pink was robbing a diamond store when, during the getaway, he ended up on a race track.</t>
  </si>
  <si>
    <t>Team</t>
  </si>
  <si>
    <t>Each team can only enter one car for the season</t>
  </si>
  <si>
    <t>Kristen Vassalli</t>
  </si>
  <si>
    <t>Chico Suave</t>
  </si>
  <si>
    <t>Budget Overflow</t>
  </si>
  <si>
    <t>Red</t>
  </si>
  <si>
    <t>Vassalligator</t>
  </si>
  <si>
    <t>Each team can retain all of the funding they did not spend in this season as a carryover to the next season</t>
  </si>
  <si>
    <t xml:space="preserve">Chico doesn't know how to drive because he is a dog, but it doesn't seem that hard. Plus, his humans said he'd be paid in cheese if he wins, so might as well try! A lack of thumbs may or may not impede his performance, but his crew are an insanely cracked set of hackers and makers and they've been modding up a dog-driveable car to help him cross the finish line - first. Since he's so small, his crew is hopeful their teeny tiny dog-driveable car can shave a ton of weight and zoom past his (speciesist) competitors. </t>
  </si>
  <si>
    <t>Sponsor Upgrade Retention</t>
  </si>
  <si>
    <t>Sponsor</t>
  </si>
  <si>
    <t>Sponsors are chosen at the beginning of the season and must be retained through the season - a team's first sponsor card is always their sponsor's card to start a race</t>
  </si>
  <si>
    <t>Backfield Support</t>
  </si>
  <si>
    <t>Federazione Internazionale delle Competizioni di Calore — RULES BACKLOG</t>
  </si>
  <si>
    <t>The last 4 cars receive an additional heat upgrade card for the next season - this is in addition to the other three upgrades</t>
  </si>
  <si>
    <t>Proposals voted on each off-season by the FICC. Simple majority wins. Champion holds one Golden Wrench veto per off-season.</t>
  </si>
  <si>
    <t>Each driver can propose up to one new regulation at the conclusion of the season. Drivers then vote on these rules. Rules must have 6/8 votes to pass</t>
  </si>
  <si>
    <t>Existing regulations that need to be renewed will also be voted on. These regulations will also need 6/8 votes to pass.</t>
  </si>
  <si>
    <t>Driver Name</t>
  </si>
  <si>
    <t>Missed Race</t>
  </si>
  <si>
    <t>Scoring</t>
  </si>
  <si>
    <t>If a driver misses a race, a reserve legend will take their place. The legend will only earn half points rounded down for position</t>
  </si>
  <si>
    <t>Proposed Regulation Name</t>
  </si>
  <si>
    <t>DRIVER'S CHAMPIONSHIP — THE AXLE CARBONE TROPHY</t>
  </si>
  <si>
    <t>Turbo Ban</t>
  </si>
  <si>
    <t>Detriment</t>
  </si>
  <si>
    <t>Turbos are not allowed</t>
  </si>
  <si>
    <t>End of 1962 season</t>
  </si>
  <si>
    <t>Costume Rule</t>
  </si>
  <si>
    <t>Race 1: Mexico</t>
  </si>
  <si>
    <t xml:space="preserve">If your driver comes dressed up in full costume, you get one free boost for the race. Stackable with any other boost. Must have at least top and bottom and one accessory. </t>
  </si>
  <si>
    <t>Race 2: Germany</t>
  </si>
  <si>
    <t>Race 3: South Africa</t>
  </si>
  <si>
    <t>Race 4: France</t>
  </si>
  <si>
    <t>Total Points</t>
  </si>
  <si>
    <t>Position</t>
  </si>
  <si>
    <t>Chicane easment</t>
  </si>
  <si>
    <t>Assistance</t>
  </si>
  <si>
    <t>If you spin out at a chicane, for an additional stress you can pass the corners by only one space.</t>
  </si>
  <si>
    <t>Stress transfer</t>
  </si>
  <si>
    <t>When you acquire a stress card, roll one die and if you roll a 6, the car in first gets 2 new stress cards. The car that spun out does not acquire any stress</t>
  </si>
  <si>
    <t>Qualifying round</t>
  </si>
  <si>
    <t>Season 2+</t>
  </si>
  <si>
    <t>Short time-attack before each race sets the starting grid. Pole earns +1 championship point.</t>
  </si>
  <si>
    <t>Pending</t>
  </si>
  <si>
    <t>Sprint race</t>
  </si>
  <si>
    <t>One lap only, half points awarded. Run as race 1 of a double-header weekend.</t>
  </si>
  <si>
    <t>Type</t>
  </si>
  <si>
    <t>Fastest lap point</t>
  </si>
  <si>
    <t>Any season</t>
  </si>
  <si>
    <t>Part Number</t>
  </si>
  <si>
    <t>One bonus point to the driver with the fastest individual lap each race.</t>
  </si>
  <si>
    <t>Effect</t>
  </si>
  <si>
    <t>Count Available</t>
  </si>
  <si>
    <t>Reverse grid finale</t>
  </si>
  <si>
    <t>Tier</t>
  </si>
  <si>
    <t>Cost</t>
  </si>
  <si>
    <t>Season 3+</t>
  </si>
  <si>
    <t>4 Wheel Drive</t>
  </si>
  <si>
    <t>UPGRADE TRACKER — CURRENT SEASON</t>
  </si>
  <si>
    <t>Final race of the season starts in reverse championship order.</t>
  </si>
  <si>
    <t>Weather cards</t>
  </si>
  <si>
    <t>Secret card drawn at race start affects which upgrade types are advantaged that race.</t>
  </si>
  <si>
    <t>Upgrade contraband</t>
  </si>
  <si>
    <t>A</t>
  </si>
  <si>
    <t>FICC votes to ban a specific upgrade type for one full season.</t>
  </si>
  <si>
    <t>Rule: One upgrade per type only (one Engine, one Tires, one Aero, one Cooling, one Fuel System, one Chassis). No stacking.</t>
  </si>
  <si>
    <t>Legend inclusion</t>
  </si>
  <si>
    <t>A Legend car enters, controlled by last season's last-place finisher.</t>
  </si>
  <si>
    <t>Rookie bonus card</t>
  </si>
  <si>
    <t>New drivers get a one-time 'Rookie Rage' powerful card but score 80% points in season 1.</t>
  </si>
  <si>
    <t>Rival race</t>
  </si>
  <si>
    <t>Two drivers with closest head-to-head record compete in a bonus duel race.</t>
  </si>
  <si>
    <t>S</t>
  </si>
  <si>
    <t>Driver market</t>
  </si>
  <si>
    <t>At season end, drivers may trade one upgrade card by mutual agreement.</t>
  </si>
  <si>
    <t>C</t>
  </si>
  <si>
    <t>Budget</t>
  </si>
  <si>
    <t>Upgrade 1</t>
  </si>
  <si>
    <t>Upgrade 2</t>
  </si>
  <si>
    <t>Body</t>
  </si>
  <si>
    <t>Upgrade 3</t>
  </si>
  <si>
    <t>Upgrade 4</t>
  </si>
  <si>
    <t>B</t>
  </si>
  <si>
    <t>Upgrade 5</t>
  </si>
  <si>
    <t>Upgrade 6</t>
  </si>
  <si>
    <t>Upgrade 7</t>
  </si>
  <si>
    <t>Modification</t>
  </si>
  <si>
    <t>Remaining Budget</t>
  </si>
  <si>
    <t>D</t>
  </si>
  <si>
    <t>Brakes</t>
  </si>
  <si>
    <t>F</t>
  </si>
  <si>
    <t>Noctie</t>
  </si>
  <si>
    <t>HALL OF FAME — LIFETIME CAMPAIGN STATS</t>
  </si>
  <si>
    <t>Cooling System</t>
  </si>
  <si>
    <t>RPM</t>
  </si>
  <si>
    <t>Heat</t>
  </si>
  <si>
    <t>x</t>
  </si>
  <si>
    <t>SEASON-BY-SEASON CHAMPION LOG</t>
  </si>
  <si>
    <t>Fuel</t>
  </si>
  <si>
    <t>2 [Salvage 2]</t>
  </si>
  <si>
    <t>"+ [1 Cooldown, Salvage 2] "</t>
  </si>
  <si>
    <t>Gas Pedal</t>
  </si>
  <si>
    <t>MISSED RACE LOG</t>
  </si>
  <si>
    <t>E. Mercury Air System</t>
  </si>
  <si>
    <t>Points</t>
  </si>
  <si>
    <t>Suspension</t>
  </si>
  <si>
    <t>Tires</t>
  </si>
  <si>
    <t>Beewee</t>
  </si>
  <si>
    <t>OFF-SEASON UPGRADE BUDGET — CATCH-UP SYSTEM</t>
  </si>
  <si>
    <t>Turbo Charger</t>
  </si>
  <si>
    <t>Offseason Development Regulations</t>
  </si>
  <si>
    <t/>
  </si>
  <si>
    <t>Winnings</t>
  </si>
  <si>
    <t>Champion (1)</t>
  </si>
  <si>
    <t>May exchange one upgrade card</t>
  </si>
  <si>
    <t>No extra heat cards</t>
  </si>
  <si>
    <t>Wings</t>
  </si>
  <si>
    <t>Top half (2-4)</t>
  </si>
  <si>
    <t>4 [1 Heat, Scrap 2, +2 Corner Speed Limit]</t>
  </si>
  <si>
    <t>2 - $7,000,000
3 - $6,000,000
4 - $5,000,000</t>
  </si>
  <si>
    <t>Bottom half (5-7)</t>
  </si>
  <si>
    <t>May exchange two upgrade cards</t>
  </si>
  <si>
    <t>Gets one extra heat upgrade card for next season</t>
  </si>
  <si>
    <t>3 [1 Heat, Scrap 2, +2 Corner Speed Limit]</t>
  </si>
  <si>
    <t>Last place (8)</t>
  </si>
  <si>
    <t>Can exchange all or any number of upgrade cards</t>
  </si>
  <si>
    <t>DRIVER OFF-SEASON TRACKER</t>
  </si>
  <si>
    <t xml:space="preserve">6 [2 Heat, +3 Corner Speed Limit] </t>
  </si>
  <si>
    <t>Lord &amp; CO</t>
  </si>
  <si>
    <t>MID-SEASON UPGRADE WINDOW</t>
  </si>
  <si>
    <t>Air Intake</t>
  </si>
  <si>
    <t>1 [Super Cool 1, Salvage 4, -1 Corner Speed Limit]</t>
  </si>
  <si>
    <t>0 [Super Cool 1, +1 Slipstream, Can discard 1 stress]</t>
  </si>
  <si>
    <t>1 [Super Cool 1, 1 Cooldown, Scrap 1]</t>
  </si>
  <si>
    <t>3 [Super Cool 1, Scrap 3]</t>
  </si>
  <si>
    <t>4 [Super Cool 1, Scrap 4]</t>
  </si>
  <si>
    <t>"+ [Refresh, Super Cool 1, -1 Corner Speed Limit]"</t>
  </si>
  <si>
    <t>Dramdo</t>
  </si>
  <si>
    <t>Front Wing</t>
  </si>
  <si>
    <t>"+ [Draft 3] "</t>
  </si>
  <si>
    <t xml:space="preserve">0 [Draft 1, Direct Play, Refresh] </t>
  </si>
  <si>
    <t>2 [Draft 2, Salvage 2, Scrap 5]</t>
  </si>
  <si>
    <t xml:space="preserve">3 [Draft 1, +1 Corner Speed Limit, Scrap 3] </t>
  </si>
  <si>
    <t xml:space="preserve">4 [Draft 1, Refresh, Scrap 4] </t>
  </si>
  <si>
    <t>6 [Draft 2, 1 Heat]</t>
  </si>
  <si>
    <t>Sliding Skirts</t>
  </si>
  <si>
    <t>"+ [Extra Slipstream, +1 Corner Speed Limit, Can discard 1 stress]"</t>
  </si>
  <si>
    <t>1 [Extra Slipstream, +1 Slipstream]</t>
  </si>
  <si>
    <t>1 [Extra Slipstream, Refresh]</t>
  </si>
  <si>
    <t xml:space="preserve">2 [Extra Slipstream, Direct Play] </t>
  </si>
  <si>
    <t xml:space="preserve">2/3 [Extra Slipstream] </t>
  </si>
  <si>
    <t>4/6 [Extra Slipstream, 1 Heat]</t>
  </si>
  <si>
    <t>Column 6</t>
  </si>
  <si>
    <t>Eole Wing Industries</t>
  </si>
  <si>
    <t>Car</t>
  </si>
  <si>
    <t>De Angeli</t>
  </si>
  <si>
    <t>Fredo&amp;F</t>
  </si>
  <si>
    <t>Thunder Valley Aero</t>
  </si>
  <si>
    <t>Aperault</t>
  </si>
  <si>
    <t>Moquette</t>
  </si>
  <si>
    <t>Apparel</t>
  </si>
  <si>
    <t>UPGRADE TYPE LEGEND</t>
  </si>
  <si>
    <t>Speed and acceleration upgrades</t>
  </si>
  <si>
    <t>Grip, handling, and wear management</t>
  </si>
  <si>
    <t>Aerodynamics</t>
  </si>
  <si>
    <t>Downforce and drag reduction</t>
  </si>
  <si>
    <t>Cooling</t>
  </si>
  <si>
    <t>Heat management, prevents overheating</t>
  </si>
  <si>
    <t>Fuel System</t>
  </si>
  <si>
    <t>Fuel efficiency and range</t>
  </si>
  <si>
    <t>Chassis</t>
  </si>
  <si>
    <t>Structural rigidity and weight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</si>
</sst>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28">
    <font>
      <sz val="11.0"/>
      <color theme="1"/>
      <name val="Calibri"/>
      <scheme val="minor"/>
    </font>
    <font>
      <b/>
      <sz val="14.0"/>
      <color rgb="FFC9A84C"/>
      <name val="Arial"/>
    </font>
    <font/>
    <font>
      <color theme="1"/>
      <name val="Calibri"/>
      <scheme val="minor"/>
    </font>
    <font>
      <b/>
      <sz val="10.0"/>
      <color rgb="FF5F5E5A"/>
      <name val="Arial"/>
    </font>
    <font>
      <b/>
      <sz val="12.0"/>
      <color rgb="FFC9A84C"/>
      <name val="Arial"/>
    </font>
    <font>
      <sz val="10.0"/>
      <color rgb="FF000000"/>
      <name val="Arial"/>
    </font>
    <font>
      <b/>
      <sz val="10.0"/>
      <color rgb="FF000000"/>
      <name val="Arial"/>
    </font>
    <font>
      <sz val="11.0"/>
      <color theme="1"/>
      <name val="Calibri"/>
    </font>
    <font>
      <b/>
      <sz val="11.0"/>
      <color rgb="FFC9A84C"/>
      <name val="Arial"/>
    </font>
    <font>
      <b/>
      <sz val="14.0"/>
      <color rgb="FFFFFFFF"/>
      <name val="Arial"/>
    </font>
    <font>
      <i/>
      <sz val="10.0"/>
      <color rgb="FF000000"/>
      <name val="Arial"/>
    </font>
    <font>
      <sz val="10.0"/>
      <color rgb="FFFFFFFF"/>
      <name val="Arial"/>
    </font>
    <font>
      <b/>
      <sz val="11.0"/>
      <color rgb="FFFFFFFF"/>
      <name val="Arial"/>
    </font>
    <font>
      <b/>
      <sz val="14.0"/>
      <color rgb="FF000000"/>
      <name val="Arial"/>
    </font>
    <font>
      <b/>
      <sz val="14.0"/>
      <color theme="0"/>
      <name val="Arial"/>
    </font>
    <font>
      <i/>
      <sz val="9.0"/>
      <color rgb="FF5F5E5A"/>
      <name val="Arial"/>
    </font>
    <font>
      <b/>
      <sz val="14.0"/>
      <color theme="1"/>
      <name val="Arial"/>
    </font>
    <font>
      <color rgb="FF000000"/>
      <name val="Calibri"/>
      <scheme val="minor"/>
    </font>
    <font>
      <b/>
      <sz val="10.0"/>
      <color rgb="FF633806"/>
      <name val="Arial"/>
    </font>
    <font>
      <b/>
      <sz val="10.0"/>
      <color rgb="FF0C447C"/>
      <name val="Arial"/>
    </font>
    <font>
      <sz val="14.0"/>
      <color theme="1"/>
      <name val="Arial"/>
    </font>
    <font>
      <b/>
      <sz val="10.0"/>
      <color rgb="FF3C3489"/>
      <name val="Arial"/>
    </font>
    <font>
      <sz val="12.0"/>
      <color rgb="FF000000"/>
      <name val="Arial"/>
    </font>
    <font>
      <b/>
      <sz val="10.0"/>
      <color rgb="FF791F1F"/>
      <name val="Arial"/>
    </font>
    <font>
      <b/>
      <sz val="10.0"/>
      <color rgb="FF27500A"/>
      <name val="Arial"/>
    </font>
    <font>
      <b/>
      <sz val="11.0"/>
      <color theme="1"/>
      <name val="Arial"/>
    </font>
    <font>
      <b/>
      <sz val="12.0"/>
      <color rgb="FF000000"/>
      <name val="Arial"/>
    </font>
  </fonts>
  <fills count="23">
    <fill>
      <patternFill patternType="none"/>
    </fill>
    <fill>
      <patternFill patternType="lightGray"/>
    </fill>
    <fill>
      <patternFill patternType="solid">
        <fgColor rgb="FF8B0000"/>
        <bgColor rgb="FF8B0000"/>
      </patternFill>
    </fill>
    <fill>
      <patternFill patternType="solid">
        <fgColor rgb="FFF1EFE8"/>
        <bgColor rgb="FFF1EFE8"/>
      </patternFill>
    </fill>
    <fill>
      <patternFill patternType="solid">
        <fgColor rgb="FFFFFFFF"/>
        <bgColor rgb="FFFFFFFF"/>
      </patternFill>
    </fill>
    <fill>
      <patternFill patternType="solid">
        <fgColor rgb="FFFFF3CD"/>
        <bgColor rgb="FFFFF3CD"/>
      </patternFill>
    </fill>
    <fill>
      <patternFill patternType="solid">
        <fgColor rgb="FF999999"/>
        <bgColor rgb="FF999999"/>
      </patternFill>
    </fill>
    <fill>
      <patternFill patternType="solid">
        <fgColor rgb="FF5F5E5A"/>
        <bgColor rgb="FF5F5E5A"/>
      </patternFill>
    </fill>
    <fill>
      <patternFill patternType="solid">
        <fgColor rgb="FF000000"/>
        <bgColor rgb="FF000000"/>
      </patternFill>
    </fill>
    <fill>
      <patternFill patternType="solid">
        <fgColor rgb="FF0B5394"/>
        <bgColor rgb="FF0B5394"/>
      </patternFill>
    </fill>
    <fill>
      <patternFill patternType="solid">
        <fgColor rgb="FF36980A"/>
        <bgColor rgb="FF36980A"/>
      </patternFill>
    </fill>
    <fill>
      <patternFill patternType="solid">
        <fgColor rgb="FFF1C232"/>
        <bgColor rgb="FFF1C232"/>
      </patternFill>
    </fill>
    <fill>
      <patternFill patternType="solid">
        <fgColor theme="7"/>
        <bgColor theme="7"/>
      </patternFill>
    </fill>
    <fill>
      <patternFill patternType="solid">
        <fgColor rgb="FFE69138"/>
        <bgColor rgb="FFE69138"/>
      </patternFill>
    </fill>
    <fill>
      <patternFill patternType="solid">
        <fgColor rgb="FFCC0000"/>
        <bgColor rgb="FFCC0000"/>
      </patternFill>
    </fill>
    <fill>
      <patternFill patternType="solid">
        <fgColor rgb="FFFAEEDA"/>
        <bgColor rgb="FFFAEEDA"/>
      </patternFill>
    </fill>
    <fill>
      <patternFill patternType="solid">
        <fgColor rgb="FFE6F1FB"/>
        <bgColor rgb="FFE6F1FB"/>
      </patternFill>
    </fill>
    <fill>
      <patternFill patternType="solid">
        <fgColor rgb="FFEEEDFE"/>
        <bgColor rgb="FFEEEDFE"/>
      </patternFill>
    </fill>
    <fill>
      <patternFill patternType="solid">
        <fgColor rgb="FFFCEBEB"/>
        <bgColor rgb="FFFCEBEB"/>
      </patternFill>
    </fill>
    <fill>
      <patternFill patternType="solid">
        <fgColor rgb="FFEAF3DE"/>
        <bgColor rgb="FFEAF3DE"/>
      </patternFill>
    </fill>
    <fill>
      <patternFill patternType="solid">
        <fgColor rgb="FFB7B7B7"/>
        <bgColor rgb="FFB7B7B7"/>
      </patternFill>
    </fill>
    <fill>
      <patternFill patternType="solid">
        <fgColor rgb="FFB45F06"/>
        <bgColor rgb="FFB45F06"/>
      </patternFill>
    </fill>
    <fill>
      <patternFill patternType="solid">
        <fgColor rgb="FFA4C2F4"/>
        <bgColor rgb="FFA4C2F4"/>
      </patternFill>
    </fill>
  </fills>
  <borders count="16">
    <border/>
    <border>
      <left/>
      <top/>
    </border>
    <border>
      <right/>
      <top/>
    </border>
    <border>
      <left/>
      <top/>
      <bottom/>
    </border>
    <border>
      <left style="thin">
        <color rgb="FFCCCCCC"/>
      </left>
      <right style="thin">
        <color rgb="FFCCCCCC"/>
      </right>
      <top style="thin">
        <color rgb="FFCCCCCC"/>
      </top>
      <bottom style="thin">
        <color rgb="FFCCCCCC"/>
      </bottom>
    </border>
    <border>
      <top/>
      <bottom/>
    </border>
    <border>
      <right/>
      <top/>
      <bottom/>
    </border>
    <border>
      <left style="thin">
        <color rgb="FFCCCCCC"/>
      </left>
      <top style="thin">
        <color rgb="FFCCCCCC"/>
      </top>
      <bottom style="thin">
        <color rgb="FFCCCCCC"/>
      </bottom>
    </border>
    <border>
      <top style="thin">
        <color rgb="FFCCCCCC"/>
      </top>
      <bottom style="thin">
        <color rgb="FFCCCCCC"/>
      </bottom>
    </border>
    <border>
      <top/>
    </border>
    <border>
      <left/>
    </border>
    <border>
      <right/>
      <top style="thin">
        <color rgb="FFCCCCCC"/>
      </top>
      <bottom style="thin">
        <color rgb="FFCCCCCC"/>
      </bottom>
    </border>
    <border>
      <left/>
      <bottom/>
    </border>
    <border>
      <bottom/>
    </border>
    <border>
      <left style="thin">
        <color rgb="FF000000"/>
      </left>
      <right style="thin">
        <color rgb="FF000000"/>
      </right>
      <top style="thin">
        <color rgb="FF000000"/>
      </top>
      <bottom style="thin">
        <color rgb="FF000000"/>
      </bottom>
    </border>
    <border>
      <right style="thin">
        <color rgb="FFCCCCCC"/>
      </right>
      <top style="thin">
        <color rgb="FFCCCCCC"/>
      </top>
      <bottom style="thin">
        <color rgb="FFCCCCCC"/>
      </bottom>
    </border>
  </borders>
  <cellStyleXfs count="1">
    <xf borderId="0" fillId="0" fontId="0" numFmtId="0" applyAlignment="1" applyFont="1"/>
  </cellStyleXfs>
  <cellXfs count="17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3" fillId="2" fontId="1" numFmtId="0" xfId="0" applyAlignment="1" applyBorder="1" applyFont="1">
      <alignment horizontal="center" shrinkToFit="0" vertical="center" wrapText="0"/>
    </xf>
    <xf borderId="4" fillId="0" fontId="3" numFmtId="0" xfId="0" applyBorder="1" applyFont="1"/>
    <xf borderId="5" fillId="0" fontId="2" numFmtId="0" xfId="0" applyBorder="1" applyFont="1"/>
    <xf borderId="6" fillId="0" fontId="2" numFmtId="0" xfId="0" applyBorder="1" applyFont="1"/>
    <xf borderId="4" fillId="3" fontId="4" numFmtId="0" xfId="0" applyAlignment="1" applyBorder="1" applyFill="1" applyFont="1">
      <alignment horizontal="left" shrinkToFit="0" vertical="center" wrapText="0"/>
    </xf>
    <xf borderId="7" fillId="2" fontId="5" numFmtId="0" xfId="0" applyAlignment="1" applyBorder="1" applyFont="1">
      <alignment horizontal="left" readingOrder="0" shrinkToFit="0" vertical="center" wrapText="0"/>
    </xf>
    <xf borderId="4" fillId="4" fontId="6" numFmtId="0" xfId="0" applyAlignment="1" applyBorder="1" applyFill="1" applyFont="1">
      <alignment horizontal="left" readingOrder="0" shrinkToFit="0" vertical="center" wrapText="1"/>
    </xf>
    <xf borderId="8" fillId="2" fontId="5" numFmtId="0" xfId="0" applyAlignment="1" applyBorder="1" applyFont="1">
      <alignment horizontal="left" readingOrder="0" shrinkToFit="0" vertical="center" wrapText="0"/>
    </xf>
    <xf borderId="4" fillId="0" fontId="3" numFmtId="0" xfId="0" applyAlignment="1" applyBorder="1" applyFont="1">
      <alignment readingOrder="0"/>
    </xf>
    <xf borderId="4" fillId="3" fontId="7" numFmtId="0" xfId="0" applyAlignment="1" applyBorder="1" applyFont="1">
      <alignment horizontal="left" shrinkToFit="0" vertical="center" wrapText="0"/>
    </xf>
    <xf borderId="4" fillId="5" fontId="6" numFmtId="0" xfId="0" applyAlignment="1" applyBorder="1" applyFill="1" applyFont="1">
      <alignment horizontal="center" shrinkToFit="0" vertical="center" wrapText="1"/>
    </xf>
    <xf borderId="0" fillId="2" fontId="1" numFmtId="0" xfId="0" applyAlignment="1" applyFont="1">
      <alignment horizontal="center" readingOrder="0" shrinkToFit="0" vertical="center" wrapText="0"/>
    </xf>
    <xf borderId="4" fillId="4" fontId="8" numFmtId="0" xfId="0" applyAlignment="1" applyBorder="1" applyFont="1">
      <alignment shrinkToFit="0" vertical="bottom" wrapText="0"/>
    </xf>
    <xf borderId="4" fillId="2" fontId="9" numFmtId="0" xfId="0" applyAlignment="1" applyBorder="1" applyFont="1">
      <alignment horizontal="left" shrinkToFit="0" vertical="center" wrapText="0"/>
    </xf>
    <xf borderId="4" fillId="2" fontId="9" numFmtId="0" xfId="0" applyAlignment="1" applyBorder="1" applyFont="1">
      <alignment horizontal="left" shrinkToFit="0" vertical="center" wrapText="1"/>
    </xf>
    <xf borderId="4" fillId="5" fontId="6" numFmtId="0" xfId="0" applyAlignment="1" applyBorder="1" applyFont="1">
      <alignment horizontal="center" readingOrder="0" shrinkToFit="0" vertical="center" wrapText="1"/>
    </xf>
    <xf borderId="4" fillId="4" fontId="6" numFmtId="0" xfId="0" applyAlignment="1" applyBorder="1" applyFont="1">
      <alignment horizontal="left" shrinkToFit="0" vertical="center" wrapText="1"/>
    </xf>
    <xf borderId="9" fillId="0" fontId="1" numFmtId="0" xfId="0" applyAlignment="1" applyBorder="1" applyFont="1">
      <alignment horizontal="center" shrinkToFit="0" vertical="center" wrapText="0"/>
    </xf>
    <xf borderId="4" fillId="3" fontId="4" numFmtId="0" xfId="0" applyAlignment="1" applyBorder="1" applyFont="1">
      <alignment horizontal="left" shrinkToFit="0" vertical="top" wrapText="1"/>
    </xf>
    <xf borderId="6" fillId="0" fontId="1" numFmtId="0" xfId="0" applyAlignment="1" applyBorder="1" applyFont="1">
      <alignment horizontal="center" shrinkToFit="0" vertical="center" wrapText="0"/>
    </xf>
    <xf borderId="0" fillId="0" fontId="10" numFmtId="0" xfId="0" applyAlignment="1" applyFont="1">
      <alignment horizontal="center" readingOrder="0" shrinkToFit="0" vertical="center" wrapText="0"/>
    </xf>
    <xf borderId="4" fillId="3" fontId="7" numFmtId="0" xfId="0" applyAlignment="1" applyBorder="1" applyFont="1">
      <alignment horizontal="left" readingOrder="0" shrinkToFit="0" vertical="center" wrapText="0"/>
    </xf>
    <xf borderId="10" fillId="6" fontId="10" numFmtId="0" xfId="0" applyAlignment="1" applyBorder="1" applyFill="1" applyFont="1">
      <alignment horizontal="center" readingOrder="0" shrinkToFit="0" vertical="center" wrapText="0"/>
    </xf>
    <xf borderId="4" fillId="4" fontId="11" numFmtId="0" xfId="0" applyAlignment="1" applyBorder="1" applyFont="1">
      <alignment horizontal="left" readingOrder="0" shrinkToFit="0" vertical="top" wrapText="1"/>
    </xf>
    <xf borderId="0" fillId="0" fontId="10" numFmtId="0" xfId="0" applyAlignment="1" applyFont="1">
      <alignment horizontal="center" readingOrder="0" shrinkToFit="0" vertical="center" wrapText="0"/>
    </xf>
    <xf borderId="0" fillId="3" fontId="7" numFmtId="0" xfId="0" applyAlignment="1" applyFont="1">
      <alignment horizontal="left" readingOrder="0" shrinkToFit="0" vertical="center" wrapText="0"/>
    </xf>
    <xf borderId="0" fillId="6" fontId="10" numFmtId="0" xfId="0" applyAlignment="1" applyFont="1">
      <alignment horizontal="center" readingOrder="0" shrinkToFit="0" vertical="center" wrapText="0"/>
    </xf>
    <xf borderId="0" fillId="5" fontId="6" numFmtId="164" xfId="0" applyAlignment="1" applyFont="1" applyNumberFormat="1">
      <alignment horizontal="center" readingOrder="0" shrinkToFit="0" vertical="center" wrapText="1"/>
    </xf>
    <xf borderId="4" fillId="2" fontId="9" numFmtId="0" xfId="0" applyAlignment="1" applyBorder="1" applyFont="1">
      <alignment horizontal="left" readingOrder="0" shrinkToFit="0" vertical="center" wrapText="1"/>
    </xf>
    <xf borderId="7" fillId="2" fontId="5" numFmtId="0" xfId="0" applyAlignment="1" applyBorder="1" applyFont="1">
      <alignment horizontal="left" shrinkToFit="0" vertical="center" wrapText="0"/>
    </xf>
    <xf borderId="8" fillId="0" fontId="2" numFmtId="0" xfId="0" applyBorder="1" applyFont="1"/>
    <xf borderId="0" fillId="6" fontId="12" numFmtId="0" xfId="0" applyAlignment="1" applyFont="1">
      <alignment horizontal="left" readingOrder="0" shrinkToFit="0" vertical="top" wrapText="1"/>
    </xf>
    <xf borderId="0" fillId="0" fontId="1" numFmtId="0" xfId="0" applyAlignment="1" applyFont="1">
      <alignment horizontal="center" shrinkToFit="0" vertical="center" wrapText="0"/>
    </xf>
    <xf borderId="4" fillId="7" fontId="13" numFmtId="0" xfId="0" applyAlignment="1" applyBorder="1" applyFill="1" applyFont="1">
      <alignment horizontal="center" shrinkToFit="0" vertical="center" wrapText="1"/>
    </xf>
    <xf borderId="10" fillId="0" fontId="6" numFmtId="0" xfId="0" applyAlignment="1" applyBorder="1" applyFont="1">
      <alignment horizontal="left" readingOrder="0" shrinkToFit="0" vertical="top" wrapText="0"/>
    </xf>
    <xf borderId="10" fillId="8" fontId="10" numFmtId="0" xfId="0" applyAlignment="1" applyBorder="1" applyFill="1" applyFont="1">
      <alignment horizontal="center" readingOrder="0" shrinkToFit="0" vertical="center" wrapText="0"/>
    </xf>
    <xf borderId="4" fillId="4" fontId="6" numFmtId="0" xfId="0" applyAlignment="1" applyBorder="1" applyFont="1">
      <alignment horizontal="center" shrinkToFit="0" vertical="center" wrapText="1"/>
    </xf>
    <xf borderId="0" fillId="8" fontId="10" numFmtId="0" xfId="0" applyAlignment="1" applyFont="1">
      <alignment horizontal="center" readingOrder="0" shrinkToFit="0" vertical="center" wrapText="0"/>
    </xf>
    <xf borderId="0" fillId="0" fontId="6" numFmtId="0" xfId="0" applyAlignment="1" applyFont="1">
      <alignment horizontal="left" readingOrder="0" shrinkToFit="0" vertical="top" wrapText="1"/>
    </xf>
    <xf borderId="4" fillId="3" fontId="4" numFmtId="0" xfId="0" applyAlignment="1" applyBorder="1" applyFont="1">
      <alignment horizontal="left" readingOrder="0" shrinkToFit="0" vertical="top" wrapText="1"/>
    </xf>
    <xf borderId="0" fillId="8" fontId="12" numFmtId="0" xfId="0" applyAlignment="1" applyFont="1">
      <alignment horizontal="left" readingOrder="0" shrinkToFit="0" vertical="top" wrapText="1"/>
    </xf>
    <xf borderId="10" fillId="9" fontId="10" numFmtId="0" xfId="0" applyAlignment="1" applyBorder="1" applyFill="1" applyFont="1">
      <alignment horizontal="center" readingOrder="0" shrinkToFit="0" vertical="center" wrapText="0"/>
    </xf>
    <xf borderId="0" fillId="9" fontId="10" numFmtId="0" xfId="0" applyAlignment="1" applyFont="1">
      <alignment horizontal="center" readingOrder="0" shrinkToFit="0" vertical="center" wrapText="0"/>
    </xf>
    <xf borderId="0" fillId="9" fontId="12" numFmtId="0" xfId="0" applyAlignment="1" applyFont="1">
      <alignment horizontal="left" readingOrder="0" shrinkToFit="0" vertical="top" wrapText="1"/>
    </xf>
    <xf borderId="10" fillId="10" fontId="10" numFmtId="0" xfId="0" applyAlignment="1" applyBorder="1" applyFill="1" applyFont="1">
      <alignment horizontal="center" readingOrder="0" shrinkToFit="0" vertical="center" wrapText="0"/>
    </xf>
    <xf borderId="0" fillId="10" fontId="10" numFmtId="0" xfId="0" applyAlignment="1" applyFont="1">
      <alignment horizontal="center" readingOrder="0" shrinkToFit="0" vertical="center" wrapText="0"/>
    </xf>
    <xf borderId="0" fillId="0" fontId="6" numFmtId="0" xfId="0" applyAlignment="1" applyFont="1">
      <alignment horizontal="left" readingOrder="0" shrinkToFit="0" vertical="top" wrapText="0"/>
    </xf>
    <xf borderId="0" fillId="10" fontId="12" numFmtId="0" xfId="0" applyAlignment="1" applyFont="1">
      <alignment horizontal="left" readingOrder="0" shrinkToFit="0" vertical="top" wrapText="1"/>
    </xf>
    <xf borderId="10" fillId="11" fontId="14" numFmtId="0" xfId="0" applyAlignment="1" applyBorder="1" applyFill="1" applyFont="1">
      <alignment horizontal="center" readingOrder="0" shrinkToFit="0" vertical="center" wrapText="0"/>
    </xf>
    <xf borderId="0" fillId="11" fontId="14" numFmtId="0" xfId="0" applyAlignment="1" applyFont="1">
      <alignment horizontal="center" readingOrder="0" shrinkToFit="0" vertical="center" wrapText="0"/>
    </xf>
    <xf borderId="0" fillId="11" fontId="6" numFmtId="0" xfId="0" applyAlignment="1" applyFont="1">
      <alignment horizontal="left" readingOrder="0" shrinkToFit="0" vertical="top" wrapText="1"/>
    </xf>
    <xf borderId="10" fillId="12" fontId="15" numFmtId="0" xfId="0" applyAlignment="1" applyBorder="1" applyFill="1" applyFont="1">
      <alignment horizontal="center" readingOrder="0" shrinkToFit="0" vertical="center" wrapText="0"/>
    </xf>
    <xf borderId="0" fillId="12" fontId="10" numFmtId="0" xfId="0" applyAlignment="1" applyFont="1">
      <alignment horizontal="center" readingOrder="0" shrinkToFit="0" vertical="center" wrapText="0"/>
    </xf>
    <xf borderId="0" fillId="12" fontId="12" numFmtId="0" xfId="0" applyAlignment="1" applyFont="1">
      <alignment horizontal="left" readingOrder="0" shrinkToFit="0" vertical="top" wrapText="1"/>
    </xf>
    <xf borderId="10" fillId="13" fontId="10" numFmtId="0" xfId="0" applyAlignment="1" applyBorder="1" applyFill="1" applyFont="1">
      <alignment horizontal="center" readingOrder="0" shrinkToFit="0" vertical="center" wrapText="0"/>
    </xf>
    <xf borderId="0" fillId="13" fontId="10" numFmtId="0" xfId="0" applyAlignment="1" applyFont="1">
      <alignment horizontal="center" readingOrder="0" shrinkToFit="0" vertical="center" wrapText="0"/>
    </xf>
    <xf borderId="0" fillId="13" fontId="12" numFmtId="0" xfId="0" applyAlignment="1" applyFont="1">
      <alignment horizontal="left" readingOrder="0" shrinkToFit="0" vertical="top" wrapText="1"/>
    </xf>
    <xf borderId="10" fillId="14" fontId="10" numFmtId="0" xfId="0" applyAlignment="1" applyBorder="1" applyFill="1" applyFont="1">
      <alignment horizontal="center" readingOrder="0" shrinkToFit="0" vertical="center" wrapText="0"/>
    </xf>
    <xf borderId="0" fillId="14" fontId="10" numFmtId="0" xfId="0" applyAlignment="1" applyFont="1">
      <alignment horizontal="center" readingOrder="0" shrinkToFit="0" vertical="center" wrapText="0"/>
    </xf>
    <xf borderId="0" fillId="14" fontId="12" numFmtId="0" xfId="0" applyAlignment="1" applyFont="1">
      <alignment horizontal="left" readingOrder="0" shrinkToFit="0" vertical="top" wrapText="1"/>
    </xf>
    <xf borderId="10" fillId="0" fontId="14" numFmtId="0" xfId="0" applyAlignment="1" applyBorder="1" applyFont="1">
      <alignment horizontal="center" shrinkToFit="0" vertical="center" wrapText="0"/>
    </xf>
    <xf borderId="0" fillId="0" fontId="14" numFmtId="0" xfId="0" applyAlignment="1" applyFont="1">
      <alignment horizontal="center" shrinkToFit="0" vertical="center" wrapText="0"/>
    </xf>
    <xf borderId="0" fillId="0" fontId="6" numFmtId="0" xfId="0" applyAlignment="1" applyFont="1">
      <alignment horizontal="center" shrinkToFit="0" vertical="center" wrapText="0"/>
    </xf>
    <xf borderId="3" fillId="2" fontId="1" numFmtId="0" xfId="0" applyAlignment="1" applyBorder="1" applyFont="1">
      <alignment horizontal="center" readingOrder="0" shrinkToFit="0" vertical="center" wrapText="0"/>
    </xf>
    <xf borderId="0" fillId="0" fontId="16" numFmtId="0" xfId="0" applyAlignment="1" applyFont="1">
      <alignment horizontal="center" readingOrder="0" shrinkToFit="0" vertical="center" wrapText="0"/>
    </xf>
    <xf borderId="0" fillId="0" fontId="17" numFmtId="0" xfId="0" applyAlignment="1" applyFont="1">
      <alignment horizontal="center" readingOrder="0" shrinkToFit="0" vertical="center" wrapText="0"/>
    </xf>
    <xf borderId="10" fillId="0" fontId="1" numFmtId="0" xfId="0" applyAlignment="1" applyBorder="1" applyFont="1">
      <alignment horizontal="center" shrinkToFit="0" vertical="center" wrapText="0"/>
    </xf>
    <xf borderId="11" fillId="0" fontId="6" numFmtId="0" xfId="0" applyAlignment="1" applyBorder="1" applyFont="1">
      <alignment horizontal="left" shrinkToFit="0" vertical="center" wrapText="1"/>
    </xf>
    <xf borderId="0" fillId="0" fontId="17" numFmtId="0" xfId="0" applyAlignment="1" applyFont="1">
      <alignment horizontal="center" readingOrder="0" shrinkToFit="0" vertical="center" wrapText="0"/>
    </xf>
    <xf borderId="12" fillId="0" fontId="14" numFmtId="0" xfId="0" applyAlignment="1" applyBorder="1" applyFont="1">
      <alignment horizontal="center" shrinkToFit="0" vertical="center" wrapText="0"/>
    </xf>
    <xf borderId="13" fillId="0" fontId="14" numFmtId="0" xfId="0" applyAlignment="1" applyBorder="1" applyFont="1">
      <alignment horizontal="center" shrinkToFit="0" vertical="center" wrapText="0"/>
    </xf>
    <xf borderId="13" fillId="0" fontId="1" numFmtId="0" xfId="0" applyAlignment="1" applyBorder="1" applyFont="1">
      <alignment horizontal="center" shrinkToFit="0" vertical="center" wrapText="0"/>
    </xf>
    <xf borderId="0" fillId="0" fontId="18" numFmtId="0" xfId="0" applyFont="1"/>
    <xf borderId="0" fillId="0" fontId="9" numFmtId="0" xfId="0" applyAlignment="1" applyFont="1">
      <alignment horizontal="center" readingOrder="0" shrinkToFit="0" vertical="center" wrapText="1"/>
    </xf>
    <xf borderId="12" fillId="0" fontId="1" numFmtId="0" xfId="0" applyAlignment="1" applyBorder="1" applyFont="1">
      <alignment horizontal="center" shrinkToFit="0" vertical="center" wrapText="0"/>
    </xf>
    <xf borderId="4" fillId="4" fontId="6" numFmtId="0" xfId="0" applyAlignment="1" applyBorder="1" applyFont="1">
      <alignment horizontal="left" readingOrder="0" shrinkToFit="0" vertical="center" wrapText="1"/>
    </xf>
    <xf borderId="4" fillId="4" fontId="6" numFmtId="0" xfId="0" applyAlignment="1" applyBorder="1" applyFont="1">
      <alignment horizontal="left" shrinkToFit="0" vertical="center" wrapText="1"/>
    </xf>
    <xf borderId="4" fillId="4" fontId="6" numFmtId="0" xfId="0" applyAlignment="1" applyBorder="1" applyFont="1">
      <alignment horizontal="center" readingOrder="0" shrinkToFit="0" vertical="center" wrapText="1"/>
    </xf>
    <xf borderId="4" fillId="4" fontId="6" numFmtId="0" xfId="0" applyAlignment="1" applyBorder="1" applyFont="1">
      <alignment horizontal="center" shrinkToFit="0" vertical="center" wrapText="1"/>
    </xf>
    <xf borderId="4" fillId="5" fontId="6" numFmtId="0" xfId="0" applyAlignment="1" applyBorder="1" applyFont="1">
      <alignment readingOrder="0" shrinkToFit="0" vertical="center" wrapText="1"/>
    </xf>
    <xf borderId="0" fillId="7" fontId="13" numFmtId="0" xfId="0" applyAlignment="1" applyFont="1">
      <alignment horizontal="center" shrinkToFit="0" vertical="center" wrapText="1"/>
    </xf>
    <xf borderId="4" fillId="5" fontId="7" numFmtId="0" xfId="0" applyAlignment="1" applyBorder="1" applyFont="1">
      <alignment shrinkToFit="0" vertical="center" wrapText="1"/>
    </xf>
    <xf borderId="0" fillId="15" fontId="19" numFmtId="0" xfId="0" applyAlignment="1" applyFill="1" applyFont="1">
      <alignment horizontal="left" shrinkToFit="0" vertical="center" wrapText="1"/>
    </xf>
    <xf borderId="4" fillId="15" fontId="19" numFmtId="0" xfId="0" applyAlignment="1" applyBorder="1" applyFont="1">
      <alignment horizontal="left" shrinkToFit="0" vertical="center" wrapText="1"/>
    </xf>
    <xf borderId="4" fillId="15" fontId="6" numFmtId="0" xfId="0" applyAlignment="1" applyBorder="1" applyFont="1">
      <alignment horizontal="left" shrinkToFit="0" vertical="center" wrapText="1"/>
    </xf>
    <xf borderId="0" fillId="16" fontId="20" numFmtId="0" xfId="0" applyAlignment="1" applyFill="1" applyFont="1">
      <alignment horizontal="left" shrinkToFit="0" vertical="center" wrapText="1"/>
    </xf>
    <xf borderId="4" fillId="16" fontId="20" numFmtId="0" xfId="0" applyAlignment="1" applyBorder="1" applyFont="1">
      <alignment horizontal="left" shrinkToFit="0" vertical="center" wrapText="1"/>
    </xf>
    <xf borderId="0" fillId="0" fontId="21" numFmtId="0" xfId="0" applyAlignment="1" applyFont="1">
      <alignment horizontal="center" readingOrder="0" shrinkToFit="0" vertical="center" wrapText="0"/>
    </xf>
    <xf borderId="4" fillId="16" fontId="6" numFmtId="0" xfId="0" applyAlignment="1" applyBorder="1" applyFont="1">
      <alignment horizontal="left" shrinkToFit="0" vertical="center" wrapText="1"/>
    </xf>
    <xf borderId="0" fillId="0" fontId="21" numFmtId="49" xfId="0" applyAlignment="1" applyFont="1" applyNumberFormat="1">
      <alignment horizontal="center" readingOrder="0" shrinkToFit="0" vertical="center" wrapText="0"/>
    </xf>
    <xf borderId="0" fillId="17" fontId="22" numFmtId="0" xfId="0" applyAlignment="1" applyFill="1" applyFont="1">
      <alignment horizontal="left" shrinkToFit="0" vertical="center" wrapText="1"/>
    </xf>
    <xf borderId="4" fillId="3" fontId="6" numFmtId="0" xfId="0" applyAlignment="1" applyBorder="1" applyFont="1">
      <alignment horizontal="left" shrinkToFit="0" vertical="center" wrapText="1"/>
    </xf>
    <xf borderId="4" fillId="17" fontId="22" numFmtId="0" xfId="0" applyAlignment="1" applyBorder="1" applyFont="1">
      <alignment horizontal="left" shrinkToFit="0" vertical="center" wrapText="1"/>
    </xf>
    <xf borderId="4" fillId="3" fontId="6" numFmtId="0" xfId="0" applyAlignment="1" applyBorder="1" applyFont="1">
      <alignment horizontal="center" readingOrder="0" shrinkToFit="0" vertical="center" wrapText="1"/>
    </xf>
    <xf borderId="4" fillId="17" fontId="6" numFmtId="0" xfId="0" applyAlignment="1" applyBorder="1" applyFont="1">
      <alignment horizontal="left" shrinkToFit="0" vertical="center" wrapText="1"/>
    </xf>
    <xf borderId="10" fillId="0" fontId="23" numFmtId="0" xfId="0" applyAlignment="1" applyBorder="1" applyFont="1">
      <alignment horizontal="center" readingOrder="0" shrinkToFit="0" vertical="center" wrapText="0"/>
    </xf>
    <xf borderId="0" fillId="18" fontId="24" numFmtId="0" xfId="0" applyAlignment="1" applyFill="1" applyFont="1">
      <alignment horizontal="left" shrinkToFit="0" vertical="center" wrapText="1"/>
    </xf>
    <xf borderId="4" fillId="3" fontId="6" numFmtId="0" xfId="0" applyAlignment="1" applyBorder="1" applyFont="1">
      <alignment horizontal="center" shrinkToFit="0" vertical="center" wrapText="1"/>
    </xf>
    <xf borderId="0" fillId="2" fontId="1" numFmtId="0" xfId="0" applyAlignment="1" applyFont="1">
      <alignment horizontal="center" shrinkToFit="0" vertical="center" wrapText="0"/>
    </xf>
    <xf borderId="0" fillId="0" fontId="23" numFmtId="0" xfId="0" applyAlignment="1" applyFont="1">
      <alignment horizontal="center" readingOrder="0" shrinkToFit="0" vertical="center" wrapText="0"/>
    </xf>
    <xf borderId="4" fillId="18" fontId="24" numFmtId="0" xfId="0" applyAlignment="1" applyBorder="1" applyFont="1">
      <alignment horizontal="left" shrinkToFit="0" vertical="center" wrapText="1"/>
    </xf>
    <xf borderId="0" fillId="0" fontId="23" numFmtId="0" xfId="0" applyAlignment="1" applyFont="1">
      <alignment horizontal="center" readingOrder="0" shrinkToFit="0" vertical="center" wrapText="0"/>
    </xf>
    <xf borderId="4" fillId="18" fontId="6" numFmtId="0" xfId="0" applyAlignment="1" applyBorder="1" applyFont="1">
      <alignment horizontal="left" shrinkToFit="0" vertical="center" wrapText="1"/>
    </xf>
    <xf borderId="4" fillId="18" fontId="6" numFmtId="0" xfId="0" applyAlignment="1" applyBorder="1" applyFont="1">
      <alignment horizontal="left" readingOrder="0" shrinkToFit="0" vertical="center" wrapText="1"/>
    </xf>
    <xf borderId="0" fillId="0" fontId="16" numFmtId="0" xfId="0" applyAlignment="1" applyFont="1">
      <alignment horizontal="center" shrinkToFit="0" vertical="center" wrapText="0"/>
    </xf>
    <xf borderId="0" fillId="19" fontId="25" numFmtId="0" xfId="0" applyAlignment="1" applyFill="1" applyFont="1">
      <alignment horizontal="left" shrinkToFit="0" vertical="center" wrapText="1"/>
    </xf>
    <xf borderId="0" fillId="0" fontId="23" numFmtId="164" xfId="0" applyAlignment="1" applyFont="1" applyNumberFormat="1">
      <alignment readingOrder="0" shrinkToFit="0" vertical="center" wrapText="1"/>
    </xf>
    <xf borderId="4" fillId="19" fontId="25" numFmtId="0" xfId="0" applyAlignment="1" applyBorder="1" applyFont="1">
      <alignment horizontal="left" shrinkToFit="0" vertical="center" wrapText="1"/>
    </xf>
    <xf borderId="4" fillId="19" fontId="6" numFmtId="0" xfId="0" applyAlignment="1" applyBorder="1" applyFont="1">
      <alignment horizontal="left" shrinkToFit="0" vertical="center" wrapText="1"/>
    </xf>
    <xf borderId="0" fillId="0" fontId="26" numFmtId="0" xfId="0" applyAlignment="1" applyFont="1">
      <alignment horizontal="center" readingOrder="0" shrinkToFit="0" vertical="center" wrapText="1"/>
    </xf>
    <xf borderId="0" fillId="0" fontId="26" numFmtId="0" xfId="0" applyAlignment="1" applyFont="1">
      <alignment horizontal="center" readingOrder="0" shrinkToFit="0" vertical="center" wrapText="1"/>
    </xf>
    <xf borderId="0" fillId="0" fontId="23" numFmtId="164" xfId="0" applyAlignment="1" applyFont="1" applyNumberFormat="1">
      <alignment readingOrder="0" shrinkToFit="0" vertical="center" wrapText="1"/>
    </xf>
    <xf borderId="0" fillId="0" fontId="26" numFmtId="49" xfId="0" applyAlignment="1" applyFont="1" applyNumberFormat="1">
      <alignment horizontal="center" readingOrder="0" shrinkToFit="0" vertical="center" wrapText="1"/>
    </xf>
    <xf borderId="14" fillId="4" fontId="6" numFmtId="0" xfId="0" applyAlignment="1" applyBorder="1" applyFont="1">
      <alignment horizontal="left" readingOrder="0" shrinkToFit="0" vertical="center" wrapText="1"/>
    </xf>
    <xf borderId="14" fillId="18" fontId="6" numFmtId="0" xfId="0" applyAlignment="1" applyBorder="1" applyFont="1">
      <alignment horizontal="left" readingOrder="0" shrinkToFit="0" vertical="center" wrapText="1"/>
    </xf>
    <xf borderId="4" fillId="3" fontId="6" numFmtId="0" xfId="0" applyAlignment="1" applyBorder="1" applyFont="1">
      <alignment horizontal="left" shrinkToFit="0" vertical="center" wrapText="1"/>
    </xf>
    <xf borderId="4" fillId="3" fontId="6" numFmtId="0" xfId="0" applyAlignment="1" applyBorder="1" applyFont="1">
      <alignment horizontal="center" shrinkToFit="0" vertical="center" wrapText="1"/>
    </xf>
    <xf borderId="14" fillId="16" fontId="6" numFmtId="164" xfId="0" applyAlignment="1" applyBorder="1" applyFont="1" applyNumberFormat="1">
      <alignment shrinkToFit="0" vertical="center" wrapText="1"/>
    </xf>
    <xf borderId="14" fillId="16" fontId="6" numFmtId="0" xfId="0" applyAlignment="1" applyBorder="1" applyFont="1">
      <alignment horizontal="left" readingOrder="0" shrinkToFit="0" vertical="center" wrapText="1"/>
    </xf>
    <xf borderId="14" fillId="19" fontId="6" numFmtId="0" xfId="0" applyAlignment="1" applyBorder="1" applyFont="1">
      <alignment horizontal="left" readingOrder="0" shrinkToFit="0" vertical="center" wrapText="1"/>
    </xf>
    <xf borderId="14" fillId="15" fontId="6" numFmtId="0" xfId="0" applyAlignment="1" applyBorder="1" applyFont="1">
      <alignment horizontal="left" readingOrder="0" shrinkToFit="0" vertical="center" wrapText="1"/>
    </xf>
    <xf borderId="14" fillId="17" fontId="6" numFmtId="0" xfId="0" applyAlignment="1" applyBorder="1" applyFont="1">
      <alignment horizontal="left" shrinkToFit="0" vertical="center" wrapText="1"/>
    </xf>
    <xf borderId="14" fillId="3" fontId="6" numFmtId="0" xfId="0" applyAlignment="1" applyBorder="1" applyFont="1">
      <alignment horizontal="left" shrinkToFit="0" vertical="center" wrapText="1"/>
    </xf>
    <xf borderId="14" fillId="4" fontId="6" numFmtId="0" xfId="0" applyAlignment="1" applyBorder="1" applyFont="1">
      <alignment horizontal="center" shrinkToFit="0" vertical="center" wrapText="1"/>
    </xf>
    <xf borderId="14" fillId="4" fontId="6" numFmtId="0" xfId="0" applyAlignment="1" applyBorder="1" applyFont="1">
      <alignment horizontal="left" shrinkToFit="0" vertical="center" wrapText="1"/>
    </xf>
    <xf borderId="14" fillId="4" fontId="6" numFmtId="164" xfId="0" applyAlignment="1" applyBorder="1" applyFont="1" applyNumberFormat="1">
      <alignment readingOrder="0" shrinkToFit="0" vertical="center" wrapText="1"/>
    </xf>
    <xf borderId="10" fillId="0" fontId="23" numFmtId="0" xfId="0" applyAlignment="1" applyBorder="1" applyFont="1">
      <alignment horizontal="center" readingOrder="0" shrinkToFit="0" vertical="center" wrapText="0"/>
    </xf>
    <xf borderId="15" fillId="0" fontId="2" numFmtId="0" xfId="0" applyBorder="1" applyFont="1"/>
    <xf borderId="4" fillId="5" fontId="6" numFmtId="0" xfId="0" applyAlignment="1" applyBorder="1" applyFont="1">
      <alignment horizontal="left" shrinkToFit="0" vertical="center" wrapText="1"/>
    </xf>
    <xf borderId="14" fillId="4" fontId="6" numFmtId="164" xfId="0" applyAlignment="1" applyBorder="1" applyFont="1" applyNumberFormat="1">
      <alignment horizontal="left" shrinkToFit="0" vertical="center" wrapText="1"/>
    </xf>
    <xf borderId="0" fillId="0" fontId="3" numFmtId="0" xfId="0" applyAlignment="1" applyFont="1">
      <alignment horizontal="left" readingOrder="0" shrinkToFit="0" vertical="center" wrapText="0"/>
    </xf>
    <xf borderId="0" fillId="11" fontId="3" numFmtId="0" xfId="0" applyAlignment="1" applyFont="1">
      <alignment readingOrder="0" shrinkToFit="0" vertical="center" wrapText="0"/>
    </xf>
    <xf borderId="0" fillId="20" fontId="3" numFmtId="0" xfId="0" applyAlignment="1" applyFill="1" applyFont="1">
      <alignment readingOrder="0" shrinkToFit="0" vertical="center" wrapText="0"/>
    </xf>
    <xf borderId="0" fillId="21" fontId="3" numFmtId="0" xfId="0" applyAlignment="1" applyFill="1" applyFont="1">
      <alignment readingOrder="0" shrinkToFit="0" vertical="center" wrapText="0"/>
    </xf>
    <xf borderId="0" fillId="22" fontId="3" numFmtId="0" xfId="0" applyAlignment="1" applyFill="1" applyFont="1">
      <alignment readingOrder="0" shrinkToFit="0" vertical="center" wrapText="0"/>
    </xf>
    <xf borderId="0" fillId="0" fontId="3" numFmtId="0" xfId="0" applyAlignment="1" applyFont="1">
      <alignment readingOrder="0" shrinkToFit="0" vertical="center" wrapText="0"/>
    </xf>
    <xf borderId="0" fillId="0" fontId="23" numFmtId="164" xfId="0" applyAlignment="1" applyFont="1" applyNumberFormat="1">
      <alignment readingOrder="0" shrinkToFit="0" vertical="top" wrapText="1"/>
    </xf>
    <xf borderId="14" fillId="4" fontId="6" numFmtId="164" xfId="0" applyAlignment="1" applyBorder="1" applyFont="1" applyNumberFormat="1">
      <alignment shrinkToFit="0" vertical="center" wrapText="1"/>
    </xf>
    <xf quotePrefix="1" borderId="4" fillId="7" fontId="13" numFmtId="0" xfId="0" applyAlignment="1" applyBorder="1" applyFont="1">
      <alignment horizontal="center" readingOrder="0" shrinkToFit="0" vertical="center" wrapText="1"/>
    </xf>
    <xf borderId="4" fillId="7" fontId="13" numFmtId="0" xfId="0" applyAlignment="1" applyBorder="1" applyFont="1">
      <alignment horizontal="center" readingOrder="0" shrinkToFit="0" vertical="center" wrapText="1"/>
    </xf>
    <xf borderId="4" fillId="17" fontId="22" numFmtId="0" xfId="0" applyAlignment="1" applyBorder="1" applyFont="1">
      <alignment horizontal="left" readingOrder="0" shrinkToFit="0" vertical="center" wrapText="1"/>
    </xf>
    <xf borderId="4" fillId="17" fontId="6" numFmtId="0" xfId="0" applyAlignment="1" applyBorder="1" applyFont="1">
      <alignment horizontal="left" readingOrder="0" shrinkToFit="0" vertical="center" wrapText="1"/>
    </xf>
    <xf borderId="4" fillId="17" fontId="6" numFmtId="164" xfId="0" applyAlignment="1" applyBorder="1" applyFont="1" applyNumberFormat="1">
      <alignment horizontal="left" readingOrder="0" shrinkToFit="0" vertical="center" wrapText="1"/>
    </xf>
    <xf borderId="4" fillId="19" fontId="25" numFmtId="0" xfId="0" applyAlignment="1" applyBorder="1" applyFont="1">
      <alignment horizontal="left" readingOrder="0" shrinkToFit="0" vertical="center" wrapText="1"/>
    </xf>
    <xf borderId="4" fillId="19" fontId="6" numFmtId="0" xfId="0" applyAlignment="1" applyBorder="1" applyFont="1">
      <alignment horizontal="left" readingOrder="0" shrinkToFit="0" vertical="center" wrapText="1"/>
    </xf>
    <xf borderId="4" fillId="19" fontId="6" numFmtId="165" xfId="0" applyAlignment="1" applyBorder="1" applyFont="1" applyNumberFormat="1">
      <alignment horizontal="left" readingOrder="0" shrinkToFit="0" vertical="center" wrapText="1"/>
    </xf>
    <xf borderId="4" fillId="15" fontId="19" numFmtId="0" xfId="0" applyAlignment="1" applyBorder="1" applyFont="1">
      <alignment horizontal="left" readingOrder="0" shrinkToFit="0" vertical="center" wrapText="1"/>
    </xf>
    <xf borderId="4" fillId="15" fontId="6" numFmtId="0" xfId="0" applyAlignment="1" applyBorder="1" applyFont="1">
      <alignment horizontal="left" readingOrder="0" shrinkToFit="0" vertical="center" wrapText="1"/>
    </xf>
    <xf borderId="4" fillId="15" fontId="6" numFmtId="164" xfId="0" applyAlignment="1" applyBorder="1" applyFont="1" applyNumberFormat="1">
      <alignment horizontal="left" readingOrder="0" shrinkToFit="0" vertical="center" wrapText="1"/>
    </xf>
    <xf borderId="4" fillId="18" fontId="24" numFmtId="0" xfId="0" applyAlignment="1" applyBorder="1" applyFont="1">
      <alignment horizontal="left" readingOrder="0" shrinkToFit="0" vertical="center" wrapText="1"/>
    </xf>
    <xf borderId="4" fillId="18" fontId="6" numFmtId="164" xfId="0" applyAlignment="1" applyBorder="1" applyFont="1" applyNumberFormat="1">
      <alignment horizontal="left" readingOrder="0" shrinkToFit="0" vertical="center" wrapText="1"/>
    </xf>
    <xf borderId="4" fillId="5" fontId="7" numFmtId="0" xfId="0" applyAlignment="1" applyBorder="1" applyFont="1">
      <alignment horizontal="center" shrinkToFit="0" vertical="center" wrapText="1"/>
    </xf>
    <xf borderId="0" fillId="0" fontId="27" numFmtId="0" xfId="0" applyAlignment="1" applyFont="1">
      <alignment horizontal="center" readingOrder="0" shrinkToFit="0" vertical="center" wrapText="0"/>
    </xf>
    <xf borderId="0" fillId="0" fontId="3" numFmtId="164" xfId="0" applyFont="1" applyNumberFormat="1"/>
    <xf borderId="0" fillId="0" fontId="17" numFmtId="49" xfId="0" applyAlignment="1" applyFont="1" applyNumberFormat="1">
      <alignment horizontal="center" readingOrder="0" shrinkToFit="0" vertical="center" wrapText="0"/>
    </xf>
    <xf borderId="0" fillId="0" fontId="23" numFmtId="0" xfId="0" applyAlignment="1" applyFont="1">
      <alignment horizontal="center" shrinkToFit="0" vertical="center" wrapText="0"/>
    </xf>
    <xf borderId="4" fillId="18" fontId="24" numFmtId="0" xfId="0" applyAlignment="1" applyBorder="1" applyFont="1">
      <alignment horizontal="left" readingOrder="0" shrinkToFit="0" vertical="center" wrapText="0"/>
    </xf>
    <xf borderId="7" fillId="18" fontId="6" numFmtId="0" xfId="0" applyAlignment="1" applyBorder="1" applyFont="1">
      <alignment horizontal="left" shrinkToFit="0" vertical="center" wrapText="1"/>
    </xf>
    <xf borderId="11" fillId="0" fontId="2" numFmtId="0" xfId="0" applyBorder="1" applyFont="1"/>
    <xf borderId="0" fillId="18" fontId="6" numFmtId="0" xfId="0" applyAlignment="1" applyFont="1">
      <alignment horizontal="left" shrinkToFit="0" vertical="center" wrapText="1"/>
    </xf>
    <xf borderId="4" fillId="16" fontId="20" numFmtId="0" xfId="0" applyAlignment="1" applyBorder="1" applyFont="1">
      <alignment horizontal="left" shrinkToFit="0" vertical="center" wrapText="0"/>
    </xf>
    <xf borderId="7" fillId="16" fontId="6" numFmtId="0" xfId="0" applyAlignment="1" applyBorder="1" applyFont="1">
      <alignment horizontal="left" shrinkToFit="0" vertical="center" wrapText="1"/>
    </xf>
    <xf borderId="0" fillId="16" fontId="6" numFmtId="0" xfId="0" applyAlignment="1" applyFont="1">
      <alignment horizontal="left" shrinkToFit="0" vertical="center" wrapText="1"/>
    </xf>
    <xf borderId="4" fillId="19" fontId="25" numFmtId="0" xfId="0" applyAlignment="1" applyBorder="1" applyFont="1">
      <alignment horizontal="left" shrinkToFit="0" vertical="center" wrapText="0"/>
    </xf>
    <xf borderId="7" fillId="19" fontId="6" numFmtId="0" xfId="0" applyAlignment="1" applyBorder="1" applyFont="1">
      <alignment horizontal="left" shrinkToFit="0" vertical="center" wrapText="1"/>
    </xf>
    <xf borderId="0" fillId="19" fontId="6" numFmtId="0" xfId="0" applyAlignment="1" applyFont="1">
      <alignment horizontal="left" shrinkToFit="0" vertical="center" wrapText="1"/>
    </xf>
    <xf borderId="4" fillId="15" fontId="19" numFmtId="0" xfId="0" applyAlignment="1" applyBorder="1" applyFont="1">
      <alignment horizontal="left" shrinkToFit="0" vertical="center" wrapText="0"/>
    </xf>
    <xf borderId="7" fillId="15" fontId="6" numFmtId="0" xfId="0" applyAlignment="1" applyBorder="1" applyFont="1">
      <alignment horizontal="left" shrinkToFit="0" vertical="center" wrapText="1"/>
    </xf>
    <xf borderId="0" fillId="15" fontId="6" numFmtId="0" xfId="0" applyAlignment="1" applyFont="1">
      <alignment horizontal="left" shrinkToFit="0" vertical="center" wrapText="1"/>
    </xf>
    <xf borderId="4" fillId="17" fontId="22" numFmtId="0" xfId="0" applyAlignment="1" applyBorder="1" applyFont="1">
      <alignment horizontal="left" shrinkToFit="0" vertical="center" wrapText="0"/>
    </xf>
    <xf borderId="7" fillId="17" fontId="6" numFmtId="0" xfId="0" applyAlignment="1" applyBorder="1" applyFont="1">
      <alignment horizontal="left" shrinkToFit="0" vertical="center" wrapText="1"/>
    </xf>
    <xf borderId="0" fillId="17" fontId="6" numFmtId="0" xfId="0" applyAlignment="1" applyFont="1">
      <alignment horizontal="left" shrinkToFit="0" vertical="center" wrapText="1"/>
    </xf>
    <xf borderId="7" fillId="3" fontId="6" numFmtId="0" xfId="0" applyAlignment="1" applyBorder="1" applyFont="1">
      <alignment horizontal="left" shrinkToFit="0" vertical="center" wrapText="1"/>
    </xf>
    <xf borderId="0" fillId="3" fontId="6" numFmtId="0" xfId="0" applyAlignment="1" applyFont="1">
      <alignment horizontal="left" shrinkToFit="0" vertical="center" wrapText="1"/>
    </xf>
  </cellXfs>
  <cellStyles count="1">
    <cellStyle xfId="0" name="Normal" builtinId="0"/>
  </cellStyles>
  <dxfs count="8">
    <dxf>
      <font/>
      <fill>
        <patternFill patternType="none"/>
      </fill>
      <border/>
    </dxf>
    <dxf>
      <font/>
      <fill>
        <patternFill patternType="solid">
          <fgColor rgb="FF8B0000"/>
          <bgColor rgb="FF8B0000"/>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8B0000"/>
        </left>
        <right style="thin">
          <color rgb="FF8B0000"/>
        </right>
        <top style="thin">
          <color rgb="FF8B0000"/>
        </top>
        <bottom style="thin">
          <color rgb="FF8B0000"/>
        </bottom>
      </border>
    </dxf>
    <dxf>
      <font/>
      <fill>
        <patternFill patternType="solid">
          <fgColor rgb="FF626E7A"/>
          <bgColor rgb="FF626E7A"/>
        </patternFill>
      </fill>
      <border/>
    </dxf>
    <dxf>
      <font/>
      <fill>
        <patternFill patternType="solid">
          <fgColor rgb="FFBB463C"/>
          <bgColor rgb="FFBB463C"/>
        </patternFill>
      </fill>
      <border/>
    </dxf>
    <dxf>
      <font/>
      <fill>
        <patternFill patternType="solid">
          <fgColor rgb="FFC9A84C"/>
          <bgColor rgb="FFC9A84C"/>
        </patternFill>
      </fill>
      <border/>
    </dxf>
  </dxfs>
  <tableStyles count="8">
    <tableStyle count="4" pivot="0" name="1961 Driver Lineup-style">
      <tableStyleElement dxfId="1" type="headerRow"/>
      <tableStyleElement dxfId="2" type="firstRowStripe"/>
      <tableStyleElement dxfId="3" type="secondRowStripe"/>
      <tableStyleElement dxfId="4" size="0" type="wholeTable"/>
    </tableStyle>
    <tableStyle count="4" pivot="0" name="1961 Technical Regulations-style">
      <tableStyleElement dxfId="5" type="headerRow"/>
      <tableStyleElement dxfId="2" type="firstRowStripe"/>
      <tableStyleElement dxfId="3" type="secondRowStripe"/>
      <tableStyleElement dxfId="4" size="0" type="wholeTable"/>
    </tableStyle>
    <tableStyle count="4" pivot="0" name="FICC Backlog-style">
      <tableStyleElement dxfId="6" type="headerRow"/>
      <tableStyleElement dxfId="2" type="firstRowStripe"/>
      <tableStyleElement dxfId="3" type="secondRowStripe"/>
      <tableStyleElement dxfId="4" size="0" type="wholeTable"/>
    </tableStyle>
    <tableStyle count="4" pivot="0" name="1961 Championship Standings-style">
      <tableStyleElement dxfId="1" type="headerRow"/>
      <tableStyleElement dxfId="2" type="firstRowStripe"/>
      <tableStyleElement dxfId="3" type="secondRowStripe"/>
      <tableStyleElement dxfId="4" size="0" type="wholeTable"/>
    </tableStyle>
    <tableStyle count="4" pivot="0" name="1961 Championship Standings-style 2">
      <tableStyleElement dxfId="1" type="headerRow"/>
      <tableStyleElement dxfId="2" type="firstRowStripe"/>
      <tableStyleElement dxfId="3" type="secondRowStripe"/>
      <tableStyleElement dxfId="4" size="0" type="wholeTable"/>
    </tableStyle>
    <tableStyle count="4" pivot="0" name="Inventory-style">
      <tableStyleElement dxfId="1" type="headerRow"/>
      <tableStyleElement dxfId="2" type="firstRowStripe"/>
      <tableStyleElement dxfId="3" type="secondRowStripe"/>
      <tableStyleElement dxfId="4" size="0" type="wholeTable"/>
    </tableStyle>
    <tableStyle count="4" pivot="0" name="Inventory-style 2">
      <tableStyleElement dxfId="1" type="headerRow"/>
      <tableStyleElement dxfId="2" type="firstRowStripe"/>
      <tableStyleElement dxfId="3" type="secondRowStripe"/>
      <tableStyleElement dxfId="4" size="0" type="wholeTable"/>
    </tableStyle>
    <tableStyle count="4" pivot="0" name="Upgrade Tracker-style">
      <tableStyleElement dxfId="7"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ric Maras" id="{a0e0184f-c0b3-4d5d-88d5-786648e97220}" providerId="google-sheets"/>
  <x18tc:person displayName="Daniel Yun" id="{b72e6e92-cf91-4ce4-a18b-82f89275e840}" providerId="google-sheets"/>
</x18tc:personList>
</file>

<file path=xl/tables/table1.xml><?xml version="1.0" encoding="utf-8"?>
<table xmlns="http://schemas.openxmlformats.org/spreadsheetml/2006/main" ref="A1:E9" displayName="DriverLineup" name="DriverLineup" id="1">
  <tableColumns count="5">
    <tableColumn name="Player" id="1"/>
    <tableColumn name="Driver" id="2"/>
    <tableColumn name="Car Color" id="3"/>
    <tableColumn name="Team Name" id="4"/>
    <tableColumn name="Backstory" id="5"/>
  </tableColumns>
  <tableStyleInfo name="1961 Driver Lineup-style" showColumnStripes="0" showFirstColumn="1" showLastColumn="1" showRowStripes="1"/>
</table>
</file>

<file path=xl/tables/table2.xml><?xml version="1.0" encoding="utf-8"?>
<table xmlns="http://schemas.openxmlformats.org/spreadsheetml/2006/main" ref="A1:D15" displayName="RegulationLedger" name="RegulationLedger" id="2">
  <tableColumns count="4">
    <tableColumn name="Regulation Name" id="1"/>
    <tableColumn name="Regulation Type" id="2"/>
    <tableColumn name="Explanation" id="3"/>
    <tableColumn name="Expiration" id="4"/>
  </tableColumns>
  <tableStyleInfo name="1961 Technical Regulations-style" showColumnStripes="0" showFirstColumn="1" showLastColumn="1" showRowStripes="1"/>
</table>
</file>

<file path=xl/tables/table3.xml><?xml version="1.0" encoding="utf-8"?>
<table xmlns="http://schemas.openxmlformats.org/spreadsheetml/2006/main" ref="A5:E13" displayName="RegulationBacklog" name="RegulationBacklog" id="3">
  <tableColumns count="5">
    <tableColumn name="Driver Name" id="1"/>
    <tableColumn name="Proposed Regulation Name" id="2"/>
    <tableColumn name="Regulation Type" id="3"/>
    <tableColumn name="Explanation" id="4"/>
    <tableColumn name="Expiration" id="5"/>
  </tableColumns>
  <tableStyleInfo name="FICC Backlog-style" showColumnStripes="0" showFirstColumn="1" showLastColumn="1" showRowStripes="1"/>
</table>
</file>

<file path=xl/tables/table4.xml><?xml version="1.0" encoding="utf-8"?>
<table xmlns="http://schemas.openxmlformats.org/spreadsheetml/2006/main" ref="A4:H12" displayName="Standings" name="Standings" id="4">
  <tableColumns count="8">
    <tableColumn name="Driver" id="1"/>
    <tableColumn name="Team" id="2"/>
    <tableColumn name="Race 1: Mexico" id="3"/>
    <tableColumn name="Race 2: Germany" id="4"/>
    <tableColumn name="Race 3: South Africa" id="5"/>
    <tableColumn name="Race 4: France" id="6"/>
    <tableColumn name="Total Points" id="7"/>
    <tableColumn name="Position" id="8"/>
  </tableColumns>
  <tableStyleInfo name="1961 Championship Standings-style" showColumnStripes="0" showFirstColumn="1" showLastColumn="1" showRowStripes="1"/>
</table>
</file>

<file path=xl/tables/table5.xml><?xml version="1.0" encoding="utf-8"?>
<table xmlns="http://schemas.openxmlformats.org/spreadsheetml/2006/main" ref="A14:B23" displayName="PointLookup" name="PointLookup" id="5">
  <tableColumns count="2">
    <tableColumn name="Position" id="1"/>
    <tableColumn name="Points" id="2"/>
  </tableColumns>
  <tableStyleInfo name="1961 Championship Standings-style 2" showColumnStripes="0" showFirstColumn="1" showLastColumn="1" showRowStripes="1"/>
</table>
</file>

<file path=xl/tables/table6.xml><?xml version="1.0" encoding="utf-8"?>
<table xmlns="http://schemas.openxmlformats.org/spreadsheetml/2006/main" ref="A1:F67" displayName="UpgradeInventory" name="UpgradeInventory" id="6">
  <autoFilter ref="$A$1:$F$67"/>
  <tableColumns count="6">
    <tableColumn name="Type" id="1"/>
    <tableColumn name="Part Number" id="2"/>
    <tableColumn name="Effect" id="3"/>
    <tableColumn name="Count Available" id="4"/>
    <tableColumn name="Tier" id="5"/>
    <tableColumn name="Cost" id="6"/>
  </tableColumns>
  <tableStyleInfo name="Inventory-style" showColumnStripes="0" showFirstColumn="1" showLastColumn="1" showRowStripes="1"/>
</table>
</file>

<file path=xl/tables/table7.xml><?xml version="1.0" encoding="utf-8"?>
<table xmlns="http://schemas.openxmlformats.org/spreadsheetml/2006/main" ref="A70:F81" displayName="SponsorInventory" name="SponsorInventory" id="7">
  <tableColumns count="6">
    <tableColumn name="Sponsor" id="1"/>
    <tableColumn name="Type" id="2"/>
    <tableColumn name="Column 6" id="3"/>
    <tableColumn name="Count Available" id="4"/>
    <tableColumn name="Tier" id="5"/>
    <tableColumn name="Funding" id="6"/>
  </tableColumns>
  <tableStyleInfo name="Inventory-style 2" showColumnStripes="0" showFirstColumn="1" showLastColumn="1" showRowStripes="1"/>
</table>
</file>

<file path=xl/tables/table8.xml><?xml version="1.0" encoding="utf-8"?>
<table xmlns="http://schemas.openxmlformats.org/spreadsheetml/2006/main" ref="A4:L12" displayName="Upgrades" name="Upgrades" id="8">
  <tableColumns count="12">
    <tableColumn name="Driver" id="1"/>
    <tableColumn name="Sponsor" id="2"/>
    <tableColumn name="Budget" id="3"/>
    <tableColumn name="Upgrade 1" id="4"/>
    <tableColumn name="Upgrade 2" id="5"/>
    <tableColumn name="Upgrade 3" id="6"/>
    <tableColumn name="Upgrade 4" id="7"/>
    <tableColumn name="Upgrade 5" id="8"/>
    <tableColumn name="Upgrade 6" id="9"/>
    <tableColumn name="Upgrade 7" id="10"/>
    <tableColumn name="Modification" id="11"/>
    <tableColumn name="Remaining Budget" id="12"/>
  </tableColumns>
  <tableStyleInfo name="Upgrade Track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9" dT="2026-05-20T21:46:36.00" personId="{b72e6e92-cf91-4ce4-a18b-82f89275e840}" id="{f043fc1f-9594-4f15-af52-96490f3143de}" done="0">
    <x18tc:text xml:space="preserve">Where Count Dragula</x18tc:text>
  </x18tc:threadedComment>
  <x18tc:threadedComment ref="B19" dT="2026-05-20T21:57:46.00" personId="{a0e0184f-c0b3-4d5d-88d5-786648e97220}" id="{74f84ce0-1307-4e84-8be7-962e7e7db155}" parentId="{f043fc1f-9594-4f15-af52-96490f3143de}">
    <x18tc:text xml:space="preserve">That will be our character creation. I'll make a sheet for our character backstories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4.xml"/><Relationship Id="rId5"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6.xml"/><Relationship Id="rId5"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3.57"/>
    <col customWidth="1" min="2" max="2" width="115.86"/>
    <col customWidth="1" min="3" max="26" width="8.71"/>
  </cols>
  <sheetData>
    <row r="1" ht="31.5" customHeight="1">
      <c r="A1" s="1" t="s">
        <v>0</v>
      </c>
      <c r="B1" s="2"/>
    </row>
    <row r="2">
      <c r="A2" s="4"/>
      <c r="B2" s="4"/>
    </row>
    <row r="3" ht="18.0" customHeight="1">
      <c r="A3" s="7" t="s">
        <v>2</v>
      </c>
      <c r="B3" s="9" t="s">
        <v>4</v>
      </c>
    </row>
    <row r="4" ht="18.0" customHeight="1">
      <c r="A4" s="7" t="s">
        <v>5</v>
      </c>
      <c r="B4" s="11" t="s">
        <v>7</v>
      </c>
    </row>
    <row r="5" ht="18.0" customHeight="1">
      <c r="A5" s="7" t="s">
        <v>9</v>
      </c>
      <c r="B5" s="9" t="s">
        <v>10</v>
      </c>
    </row>
    <row r="6" ht="18.0" customHeight="1">
      <c r="A6" s="7" t="s">
        <v>12</v>
      </c>
      <c r="B6" s="9" t="s">
        <v>13</v>
      </c>
    </row>
    <row r="7">
      <c r="A7" s="15"/>
      <c r="B7" s="15"/>
    </row>
    <row r="8" ht="21.75" customHeight="1">
      <c r="A8" s="16" t="s">
        <v>19</v>
      </c>
      <c r="B8" s="17" t="s">
        <v>22</v>
      </c>
    </row>
    <row r="9" ht="18.0" customHeight="1">
      <c r="A9" s="7" t="s">
        <v>27</v>
      </c>
      <c r="B9" s="19" t="s">
        <v>28</v>
      </c>
    </row>
    <row r="10">
      <c r="A10" s="21" t="s">
        <v>30</v>
      </c>
      <c r="B10" s="26" t="s">
        <v>32</v>
      </c>
    </row>
    <row r="11" ht="9.75" customHeight="1">
      <c r="A11" s="15"/>
      <c r="B11" s="15"/>
    </row>
    <row r="12" ht="21.75" customHeight="1">
      <c r="A12" s="16" t="s">
        <v>40</v>
      </c>
      <c r="B12" s="31" t="s">
        <v>43</v>
      </c>
    </row>
    <row r="13" ht="18.0" customHeight="1">
      <c r="A13" s="7" t="s">
        <v>27</v>
      </c>
      <c r="B13" s="19" t="s">
        <v>46</v>
      </c>
    </row>
    <row r="14">
      <c r="A14" s="42" t="s">
        <v>49</v>
      </c>
      <c r="B14" s="26" t="s">
        <v>62</v>
      </c>
    </row>
    <row r="15" ht="9.75" customHeight="1">
      <c r="A15" s="15"/>
      <c r="B15" s="15"/>
    </row>
    <row r="16" ht="90.0" customHeight="1">
      <c r="A16" s="21" t="s">
        <v>64</v>
      </c>
      <c r="B16" s="26" t="s">
        <v>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paperSize="9" orientation="portrait"/>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29"/>
    <col customWidth="1" min="2" max="2" width="32.86"/>
    <col customWidth="1" min="3" max="4" width="27.29"/>
    <col customWidth="1" min="5" max="5" width="105.86"/>
    <col customWidth="1" min="6" max="27" width="45.29"/>
  </cols>
  <sheetData>
    <row r="1" ht="22.5" customHeight="1">
      <c r="A1" s="14" t="s">
        <v>6</v>
      </c>
      <c r="B1" s="14" t="s">
        <v>15</v>
      </c>
      <c r="C1" s="14" t="s">
        <v>18</v>
      </c>
      <c r="D1" s="14" t="s">
        <v>21</v>
      </c>
      <c r="E1" s="14" t="s">
        <v>25</v>
      </c>
      <c r="F1" s="20"/>
      <c r="G1" s="20"/>
      <c r="H1" s="22"/>
    </row>
    <row r="2" ht="91.5" customHeight="1">
      <c r="A2" s="25" t="s">
        <v>33</v>
      </c>
      <c r="B2" s="29" t="s">
        <v>36</v>
      </c>
      <c r="C2" s="29" t="s">
        <v>39</v>
      </c>
      <c r="D2" s="29" t="s">
        <v>42</v>
      </c>
      <c r="E2" s="34" t="s">
        <v>45</v>
      </c>
      <c r="F2" s="35"/>
      <c r="G2" s="35"/>
    </row>
    <row r="3" ht="91.5" customHeight="1">
      <c r="A3" s="38" t="s">
        <v>50</v>
      </c>
      <c r="B3" s="40" t="s">
        <v>53</v>
      </c>
      <c r="C3" s="40" t="s">
        <v>56</v>
      </c>
      <c r="D3" s="40" t="s">
        <v>59</v>
      </c>
      <c r="E3" s="43" t="s">
        <v>61</v>
      </c>
      <c r="F3" s="35"/>
      <c r="G3" s="35"/>
    </row>
    <row r="4" ht="91.5" customHeight="1">
      <c r="A4" s="44" t="s">
        <v>65</v>
      </c>
      <c r="B4" s="45" t="s">
        <v>68</v>
      </c>
      <c r="C4" s="45" t="s">
        <v>69</v>
      </c>
      <c r="D4" s="45" t="s">
        <v>70</v>
      </c>
      <c r="E4" s="46" t="s">
        <v>71</v>
      </c>
      <c r="F4" s="35"/>
      <c r="G4" s="35"/>
    </row>
    <row r="5" ht="91.5" customHeight="1">
      <c r="A5" s="47" t="s">
        <v>72</v>
      </c>
      <c r="B5" s="48" t="s">
        <v>74</v>
      </c>
      <c r="C5" s="48" t="s">
        <v>76</v>
      </c>
      <c r="D5" s="48" t="s">
        <v>78</v>
      </c>
      <c r="E5" s="50" t="s">
        <v>80</v>
      </c>
      <c r="F5" s="35"/>
      <c r="G5" s="35"/>
    </row>
    <row r="6" ht="91.5" customHeight="1">
      <c r="A6" s="51" t="s">
        <v>82</v>
      </c>
      <c r="B6" s="52" t="s">
        <v>84</v>
      </c>
      <c r="C6" s="52" t="s">
        <v>86</v>
      </c>
      <c r="D6" s="52" t="s">
        <v>87</v>
      </c>
      <c r="E6" s="53" t="s">
        <v>91</v>
      </c>
      <c r="F6" s="35"/>
      <c r="G6" s="35"/>
    </row>
    <row r="7" ht="91.5" customHeight="1">
      <c r="A7" s="54" t="s">
        <v>92</v>
      </c>
      <c r="B7" s="55" t="s">
        <v>95</v>
      </c>
      <c r="C7" s="55" t="s">
        <v>97</v>
      </c>
      <c r="D7" s="55" t="s">
        <v>98</v>
      </c>
      <c r="E7" s="56" t="s">
        <v>100</v>
      </c>
      <c r="F7" s="35"/>
      <c r="G7" s="35"/>
    </row>
    <row r="8" ht="73.5" customHeight="1">
      <c r="A8" s="57" t="s">
        <v>102</v>
      </c>
      <c r="B8" s="58" t="s">
        <v>104</v>
      </c>
      <c r="C8" s="58" t="s">
        <v>106</v>
      </c>
      <c r="D8" s="58" t="s">
        <v>107</v>
      </c>
      <c r="E8" s="59" t="s">
        <v>109</v>
      </c>
      <c r="F8" s="35"/>
      <c r="G8" s="35"/>
    </row>
    <row r="9" ht="73.5" customHeight="1">
      <c r="A9" s="60" t="s">
        <v>112</v>
      </c>
      <c r="B9" s="61" t="s">
        <v>113</v>
      </c>
      <c r="C9" s="61" t="s">
        <v>115</v>
      </c>
      <c r="D9" s="61" t="s">
        <v>116</v>
      </c>
      <c r="E9" s="62" t="s">
        <v>118</v>
      </c>
      <c r="F9" s="35"/>
      <c r="G9" s="35"/>
    </row>
    <row r="10">
      <c r="A10" s="63"/>
      <c r="B10" s="64"/>
      <c r="C10" s="64"/>
      <c r="D10" s="64"/>
      <c r="E10" s="65"/>
      <c r="F10" s="35"/>
      <c r="G10" s="35"/>
    </row>
    <row r="11">
      <c r="A11" s="63"/>
      <c r="B11" s="64"/>
      <c r="C11" s="64"/>
      <c r="D11" s="64"/>
      <c r="E11" s="65"/>
      <c r="F11" s="35"/>
      <c r="G11" s="35"/>
    </row>
    <row r="12">
      <c r="A12" s="63"/>
      <c r="B12" s="64"/>
      <c r="C12" s="64"/>
      <c r="D12" s="64"/>
      <c r="E12" s="65"/>
      <c r="F12" s="35"/>
      <c r="G12" s="35"/>
    </row>
    <row r="13">
      <c r="A13" s="63"/>
      <c r="B13" s="64"/>
      <c r="C13" s="64"/>
      <c r="D13" s="64"/>
      <c r="E13" s="65"/>
      <c r="F13" s="35"/>
      <c r="G13" s="35"/>
    </row>
    <row r="14">
      <c r="A14" s="63"/>
      <c r="B14" s="64"/>
      <c r="C14" s="64"/>
      <c r="D14" s="64"/>
      <c r="E14" s="65"/>
      <c r="F14" s="35"/>
      <c r="G14" s="35"/>
    </row>
    <row r="15">
      <c r="A15" s="63"/>
      <c r="B15" s="64"/>
      <c r="C15" s="64"/>
      <c r="D15" s="64"/>
      <c r="E15" s="65"/>
      <c r="F15" s="35"/>
      <c r="G15" s="35"/>
    </row>
    <row r="16">
      <c r="A16" s="63"/>
      <c r="B16" s="64"/>
      <c r="C16" s="64"/>
      <c r="D16" s="64"/>
      <c r="E16" s="65"/>
      <c r="F16" s="35"/>
      <c r="G16" s="35"/>
    </row>
    <row r="17">
      <c r="A17" s="63"/>
      <c r="B17" s="64"/>
      <c r="C17" s="64"/>
      <c r="D17" s="64"/>
      <c r="E17" s="65"/>
      <c r="F17" s="35"/>
      <c r="G17" s="35"/>
    </row>
    <row r="18">
      <c r="A18" s="63"/>
      <c r="B18" s="64"/>
      <c r="C18" s="64"/>
      <c r="D18" s="64"/>
      <c r="E18" s="65"/>
      <c r="F18" s="35"/>
      <c r="G18" s="35"/>
    </row>
    <row r="19">
      <c r="A19" s="63"/>
      <c r="B19" s="64"/>
      <c r="C19" s="64"/>
      <c r="D19" s="64"/>
      <c r="E19" s="65"/>
      <c r="F19" s="35"/>
      <c r="G19" s="35"/>
    </row>
    <row r="20">
      <c r="A20" s="63"/>
      <c r="B20" s="64"/>
      <c r="C20" s="64"/>
      <c r="D20" s="64"/>
      <c r="E20" s="65"/>
      <c r="F20" s="35"/>
      <c r="G20" s="35"/>
    </row>
    <row r="21">
      <c r="A21" s="63"/>
      <c r="B21" s="64"/>
      <c r="C21" s="64"/>
      <c r="D21" s="64"/>
      <c r="E21" s="65"/>
      <c r="F21" s="35"/>
      <c r="G21" s="35"/>
      <c r="H21" s="70"/>
    </row>
    <row r="22">
      <c r="A22" s="63"/>
      <c r="B22" s="64"/>
      <c r="C22" s="64"/>
      <c r="D22" s="64"/>
      <c r="E22" s="64"/>
      <c r="F22" s="35"/>
      <c r="G22" s="35"/>
      <c r="H22" s="70"/>
    </row>
    <row r="23">
      <c r="A23" s="63"/>
      <c r="B23" s="64"/>
      <c r="C23" s="64"/>
      <c r="D23" s="64"/>
      <c r="E23" s="64"/>
      <c r="F23" s="35"/>
      <c r="G23" s="35"/>
      <c r="H23" s="70"/>
    </row>
    <row r="24">
      <c r="A24" s="63"/>
      <c r="B24" s="64"/>
      <c r="C24" s="64"/>
      <c r="D24" s="64"/>
      <c r="E24" s="64"/>
      <c r="F24" s="35"/>
      <c r="G24" s="35"/>
    </row>
    <row r="25">
      <c r="A25" s="63"/>
      <c r="B25" s="64"/>
      <c r="C25" s="64"/>
      <c r="D25" s="64"/>
      <c r="E25" s="64"/>
      <c r="F25" s="35"/>
      <c r="G25" s="35"/>
    </row>
    <row r="26">
      <c r="A26" s="63"/>
      <c r="B26" s="64"/>
      <c r="C26" s="64"/>
      <c r="D26" s="64"/>
      <c r="E26" s="64"/>
      <c r="F26" s="35"/>
      <c r="G26" s="35"/>
    </row>
    <row r="27">
      <c r="A27" s="63"/>
      <c r="B27" s="64"/>
      <c r="C27" s="64"/>
      <c r="D27" s="64"/>
      <c r="E27" s="64"/>
      <c r="F27" s="35"/>
      <c r="G27" s="35"/>
    </row>
    <row r="28">
      <c r="A28" s="63"/>
      <c r="B28" s="64"/>
      <c r="C28" s="64"/>
      <c r="D28" s="64"/>
      <c r="E28" s="64"/>
      <c r="F28" s="35"/>
      <c r="G28" s="35"/>
    </row>
    <row r="29">
      <c r="A29" s="63"/>
      <c r="B29" s="64"/>
      <c r="C29" s="64"/>
      <c r="D29" s="64"/>
      <c r="E29" s="64"/>
      <c r="F29" s="35"/>
      <c r="G29" s="35"/>
    </row>
    <row r="30">
      <c r="A30" s="63"/>
      <c r="B30" s="64"/>
      <c r="C30" s="64"/>
      <c r="D30" s="64"/>
      <c r="E30" s="64"/>
      <c r="F30" s="35"/>
      <c r="G30" s="35"/>
    </row>
    <row r="31">
      <c r="A31" s="72"/>
      <c r="B31" s="73"/>
      <c r="C31" s="73"/>
      <c r="D31" s="73"/>
      <c r="E31" s="73"/>
      <c r="F31" s="74"/>
      <c r="G31" s="74"/>
    </row>
    <row r="32">
      <c r="A32" s="75"/>
      <c r="B32" s="75"/>
      <c r="C32" s="75"/>
      <c r="D32" s="75"/>
      <c r="E32" s="75"/>
    </row>
    <row r="33">
      <c r="A33" s="75"/>
      <c r="B33" s="75"/>
      <c r="C33" s="75"/>
      <c r="D33" s="75"/>
      <c r="E33" s="75"/>
    </row>
    <row r="34">
      <c r="A34" s="75"/>
      <c r="B34" s="75"/>
      <c r="C34" s="75"/>
      <c r="D34" s="75"/>
      <c r="E34" s="75"/>
    </row>
    <row r="35">
      <c r="A35" s="75"/>
      <c r="B35" s="75"/>
      <c r="C35" s="75"/>
      <c r="D35" s="75"/>
      <c r="E35" s="75"/>
    </row>
    <row r="36">
      <c r="A36" s="75"/>
      <c r="B36" s="75"/>
      <c r="C36" s="75"/>
      <c r="D36" s="75"/>
      <c r="E36" s="75"/>
    </row>
  </sheetData>
  <printOptions/>
  <pageMargins bottom="1.0" footer="0.0" header="0.0" left="0.75" right="0.75" top="1.0"/>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29"/>
    <col customWidth="1" min="2" max="5" width="16.0"/>
    <col customWidth="1" min="6" max="7" width="20.0"/>
    <col customWidth="1" min="8" max="26" width="8.71"/>
  </cols>
  <sheetData>
    <row r="1" ht="31.5" customHeight="1">
      <c r="A1" s="3" t="s">
        <v>1</v>
      </c>
      <c r="B1" s="5"/>
      <c r="C1" s="5"/>
      <c r="D1" s="5"/>
      <c r="E1" s="5"/>
      <c r="F1" s="5"/>
      <c r="G1" s="6"/>
    </row>
    <row r="3" ht="21.75" customHeight="1">
      <c r="A3" s="8" t="s">
        <v>3</v>
      </c>
      <c r="B3" s="10"/>
    </row>
    <row r="4" ht="18.0" customHeight="1">
      <c r="A4" s="12" t="s">
        <v>8</v>
      </c>
      <c r="B4" s="13" t="s">
        <v>11</v>
      </c>
    </row>
    <row r="5" ht="18.0" customHeight="1">
      <c r="A5" s="12" t="s">
        <v>14</v>
      </c>
      <c r="B5" s="13" t="s">
        <v>16</v>
      </c>
    </row>
    <row r="6" ht="18.0" customHeight="1">
      <c r="A6" s="12" t="s">
        <v>17</v>
      </c>
      <c r="B6" s="13" t="s">
        <v>20</v>
      </c>
    </row>
    <row r="7" ht="18.0" customHeight="1">
      <c r="A7" s="12" t="s">
        <v>23</v>
      </c>
      <c r="B7" s="18" t="s">
        <v>26</v>
      </c>
    </row>
    <row r="8" ht="18.0" customHeight="1">
      <c r="A8" s="12" t="s">
        <v>29</v>
      </c>
      <c r="B8" s="18">
        <v>2.0</v>
      </c>
    </row>
    <row r="9" ht="18.0" customHeight="1">
      <c r="A9" s="24" t="s">
        <v>31</v>
      </c>
      <c r="B9" s="13" t="s">
        <v>35</v>
      </c>
    </row>
    <row r="10" ht="18.0" customHeight="1">
      <c r="A10" s="28" t="s">
        <v>37</v>
      </c>
      <c r="B10" s="30">
        <v>1.5E7</v>
      </c>
    </row>
    <row r="12" ht="21.75" customHeight="1">
      <c r="A12" s="32" t="s">
        <v>44</v>
      </c>
      <c r="B12" s="33"/>
    </row>
    <row r="13" ht="19.5" customHeight="1">
      <c r="A13" s="36" t="s">
        <v>48</v>
      </c>
      <c r="B13" s="36" t="s">
        <v>51</v>
      </c>
    </row>
    <row r="14" ht="18.0" customHeight="1">
      <c r="A14" s="39">
        <v>1.0</v>
      </c>
      <c r="B14" s="9" t="s">
        <v>55</v>
      </c>
    </row>
    <row r="15" ht="18.0" customHeight="1">
      <c r="A15" s="39">
        <v>2.0</v>
      </c>
      <c r="B15" s="9" t="s">
        <v>58</v>
      </c>
    </row>
    <row r="16" ht="18.0" customHeight="1">
      <c r="A16" s="39">
        <v>3.0</v>
      </c>
      <c r="B16" s="9" t="s">
        <v>60</v>
      </c>
    </row>
    <row r="17" ht="18.0" customHeight="1">
      <c r="A17" s="39">
        <v>4.0</v>
      </c>
      <c r="B17" s="9" t="s">
        <v>63</v>
      </c>
    </row>
    <row r="19" ht="21.75" customHeight="1"/>
    <row r="20" ht="18.0" customHeight="1"/>
    <row r="21" ht="18.0" customHeight="1"/>
    <row r="22" ht="18.0"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G1"/>
    <mergeCell ref="A12:B12"/>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2.0"/>
    <col customWidth="1" min="3" max="3" width="59.71"/>
    <col customWidth="1" min="4" max="4" width="42.0"/>
    <col customWidth="1" min="5" max="26" width="15.14"/>
  </cols>
  <sheetData>
    <row r="1" ht="22.5" customHeight="1">
      <c r="A1" s="23" t="s">
        <v>24</v>
      </c>
      <c r="B1" s="27" t="s">
        <v>34</v>
      </c>
      <c r="C1" s="27" t="s">
        <v>38</v>
      </c>
      <c r="D1" s="27" t="s">
        <v>41</v>
      </c>
      <c r="E1" s="20"/>
      <c r="F1" s="20"/>
      <c r="G1" s="22"/>
    </row>
    <row r="2" ht="62.25" customHeight="1">
      <c r="A2" s="37" t="s">
        <v>47</v>
      </c>
      <c r="B2" s="37" t="s">
        <v>52</v>
      </c>
      <c r="C2" s="41" t="s">
        <v>54</v>
      </c>
      <c r="D2" s="41" t="s">
        <v>57</v>
      </c>
      <c r="E2" s="35"/>
      <c r="F2" s="35"/>
    </row>
    <row r="3" ht="62.25" customHeight="1">
      <c r="A3" s="37" t="s">
        <v>47</v>
      </c>
      <c r="B3" s="37" t="s">
        <v>52</v>
      </c>
      <c r="C3" s="41" t="s">
        <v>66</v>
      </c>
      <c r="D3" s="41" t="s">
        <v>57</v>
      </c>
      <c r="E3" s="35"/>
      <c r="F3" s="35"/>
    </row>
    <row r="4" ht="62.25" customHeight="1">
      <c r="A4" s="37" t="s">
        <v>47</v>
      </c>
      <c r="B4" s="37" t="s">
        <v>52</v>
      </c>
      <c r="C4" s="41" t="s">
        <v>73</v>
      </c>
      <c r="D4" s="41" t="s">
        <v>57</v>
      </c>
      <c r="E4" s="35"/>
      <c r="F4" s="35"/>
    </row>
    <row r="5" ht="62.25" customHeight="1">
      <c r="A5" s="37" t="s">
        <v>75</v>
      </c>
      <c r="B5" s="49" t="s">
        <v>77</v>
      </c>
      <c r="C5" s="41" t="s">
        <v>79</v>
      </c>
      <c r="D5" s="41" t="s">
        <v>57</v>
      </c>
      <c r="E5" s="35"/>
      <c r="F5" s="35"/>
    </row>
    <row r="6" ht="62.25" customHeight="1">
      <c r="A6" s="37" t="s">
        <v>81</v>
      </c>
      <c r="B6" s="49" t="s">
        <v>77</v>
      </c>
      <c r="C6" s="41" t="s">
        <v>83</v>
      </c>
      <c r="D6" s="41" t="s">
        <v>57</v>
      </c>
      <c r="E6" s="35"/>
      <c r="F6" s="35"/>
    </row>
    <row r="7" ht="62.25" customHeight="1">
      <c r="A7" s="37" t="s">
        <v>85</v>
      </c>
      <c r="B7" s="49" t="s">
        <v>77</v>
      </c>
      <c r="C7" s="41" t="s">
        <v>88</v>
      </c>
      <c r="D7" s="41" t="s">
        <v>57</v>
      </c>
      <c r="E7" s="35"/>
      <c r="F7" s="35"/>
    </row>
    <row r="8" ht="62.25" customHeight="1">
      <c r="A8" s="37" t="s">
        <v>89</v>
      </c>
      <c r="B8" s="49" t="s">
        <v>52</v>
      </c>
      <c r="C8" s="41" t="s">
        <v>90</v>
      </c>
      <c r="D8" s="41" t="s">
        <v>57</v>
      </c>
      <c r="E8" s="35"/>
      <c r="F8" s="35"/>
    </row>
    <row r="9" ht="62.25" customHeight="1">
      <c r="A9" s="37" t="s">
        <v>93</v>
      </c>
      <c r="B9" s="49" t="s">
        <v>94</v>
      </c>
      <c r="C9" s="41" t="s">
        <v>96</v>
      </c>
      <c r="D9" s="41" t="s">
        <v>99</v>
      </c>
      <c r="E9" s="35"/>
      <c r="F9" s="35"/>
    </row>
    <row r="10" ht="62.25" customHeight="1">
      <c r="A10" s="37" t="s">
        <v>101</v>
      </c>
      <c r="B10" s="49" t="s">
        <v>77</v>
      </c>
      <c r="C10" s="41" t="s">
        <v>103</v>
      </c>
      <c r="D10" s="41" t="s">
        <v>105</v>
      </c>
      <c r="E10" s="35"/>
      <c r="F10" s="35"/>
    </row>
    <row r="11" ht="62.25" customHeight="1">
      <c r="A11" s="37" t="s">
        <v>108</v>
      </c>
      <c r="B11" s="49" t="s">
        <v>110</v>
      </c>
      <c r="C11" s="41" t="s">
        <v>111</v>
      </c>
      <c r="D11" s="41" t="s">
        <v>57</v>
      </c>
      <c r="E11" s="35"/>
      <c r="F11" s="35"/>
    </row>
    <row r="12" ht="62.25" customHeight="1">
      <c r="A12" s="37" t="s">
        <v>114</v>
      </c>
      <c r="B12" s="49" t="s">
        <v>77</v>
      </c>
      <c r="C12" s="41" t="s">
        <v>117</v>
      </c>
      <c r="D12" s="41" t="s">
        <v>57</v>
      </c>
      <c r="E12" s="35"/>
      <c r="F12" s="35"/>
    </row>
    <row r="13" ht="62.25" customHeight="1">
      <c r="A13" s="37" t="s">
        <v>119</v>
      </c>
      <c r="B13" s="49" t="s">
        <v>120</v>
      </c>
      <c r="C13" s="41" t="s">
        <v>121</v>
      </c>
      <c r="D13" s="41" t="s">
        <v>57</v>
      </c>
      <c r="E13" s="35"/>
      <c r="F13" s="35"/>
    </row>
    <row r="14" ht="62.25" customHeight="1">
      <c r="A14" s="37" t="s">
        <v>122</v>
      </c>
      <c r="B14" s="49" t="s">
        <v>94</v>
      </c>
      <c r="C14" s="41" t="s">
        <v>124</v>
      </c>
      <c r="D14" s="41" t="s">
        <v>57</v>
      </c>
      <c r="E14" s="35"/>
      <c r="F14" s="35"/>
    </row>
    <row r="15" ht="62.25" customHeight="1">
      <c r="A15" s="37" t="s">
        <v>129</v>
      </c>
      <c r="B15" s="49" t="s">
        <v>130</v>
      </c>
      <c r="C15" s="41" t="s">
        <v>131</v>
      </c>
      <c r="D15" s="41" t="s">
        <v>57</v>
      </c>
      <c r="E15" s="35"/>
      <c r="F15" s="35"/>
    </row>
    <row r="16">
      <c r="A16" s="69"/>
      <c r="B16" s="35"/>
      <c r="C16" s="35"/>
      <c r="D16" s="35"/>
      <c r="E16" s="35"/>
      <c r="F16" s="35"/>
    </row>
    <row r="17">
      <c r="A17" s="69"/>
      <c r="B17" s="35"/>
      <c r="C17" s="35"/>
      <c r="D17" s="35"/>
      <c r="E17" s="35"/>
      <c r="F17" s="35"/>
    </row>
    <row r="18">
      <c r="A18" s="69"/>
      <c r="B18" s="35"/>
      <c r="C18" s="35"/>
      <c r="D18" s="35"/>
      <c r="E18" s="35"/>
      <c r="F18" s="35"/>
    </row>
    <row r="19">
      <c r="A19" s="69"/>
      <c r="B19" s="35"/>
      <c r="C19" s="35"/>
      <c r="D19" s="35"/>
      <c r="E19" s="35"/>
      <c r="F19" s="35"/>
    </row>
    <row r="20">
      <c r="A20" s="69"/>
      <c r="B20" s="35"/>
      <c r="C20" s="35"/>
      <c r="D20" s="35"/>
      <c r="E20" s="35"/>
      <c r="F20" s="35"/>
    </row>
    <row r="21">
      <c r="A21" s="69"/>
      <c r="B21" s="35"/>
      <c r="C21" s="35"/>
      <c r="D21" s="35"/>
      <c r="E21" s="35"/>
      <c r="F21" s="35"/>
    </row>
    <row r="22">
      <c r="A22" s="69"/>
      <c r="B22" s="35"/>
      <c r="C22" s="35"/>
      <c r="D22" s="35"/>
      <c r="E22" s="35"/>
      <c r="F22" s="35"/>
    </row>
    <row r="23">
      <c r="A23" s="69"/>
      <c r="B23" s="35"/>
      <c r="C23" s="35"/>
      <c r="D23" s="35"/>
      <c r="E23" s="35"/>
      <c r="F23" s="35"/>
      <c r="G23" s="70"/>
    </row>
    <row r="24">
      <c r="A24" s="69"/>
      <c r="B24" s="35"/>
      <c r="C24" s="35"/>
      <c r="D24" s="35"/>
      <c r="E24" s="35"/>
      <c r="F24" s="35"/>
      <c r="G24" s="70"/>
    </row>
    <row r="25">
      <c r="A25" s="69"/>
      <c r="B25" s="35"/>
      <c r="C25" s="35"/>
      <c r="D25" s="35"/>
      <c r="E25" s="35"/>
      <c r="F25" s="35"/>
      <c r="G25" s="70"/>
    </row>
    <row r="26">
      <c r="A26" s="69"/>
      <c r="B26" s="35"/>
      <c r="C26" s="35"/>
      <c r="D26" s="35"/>
      <c r="E26" s="35"/>
      <c r="F26" s="35"/>
    </row>
    <row r="27">
      <c r="A27" s="69"/>
      <c r="B27" s="35"/>
      <c r="C27" s="35"/>
      <c r="D27" s="35"/>
      <c r="E27" s="35"/>
      <c r="F27" s="35"/>
    </row>
    <row r="28">
      <c r="A28" s="69"/>
      <c r="B28" s="35"/>
      <c r="C28" s="35"/>
      <c r="D28" s="35"/>
      <c r="E28" s="35"/>
      <c r="F28" s="35"/>
    </row>
    <row r="29">
      <c r="A29" s="69"/>
      <c r="B29" s="35"/>
      <c r="C29" s="35"/>
      <c r="D29" s="35"/>
      <c r="E29" s="35"/>
      <c r="F29" s="35"/>
    </row>
    <row r="30">
      <c r="A30" s="69"/>
      <c r="B30" s="35"/>
      <c r="C30" s="35"/>
      <c r="D30" s="35"/>
      <c r="E30" s="35"/>
      <c r="F30" s="35"/>
    </row>
    <row r="31">
      <c r="A31" s="69"/>
      <c r="B31" s="35"/>
      <c r="C31" s="35"/>
      <c r="D31" s="35"/>
      <c r="E31" s="35"/>
      <c r="F31" s="35"/>
    </row>
    <row r="32">
      <c r="A32" s="69"/>
      <c r="B32" s="35"/>
      <c r="C32" s="35"/>
      <c r="D32" s="35"/>
      <c r="E32" s="35"/>
      <c r="F32" s="35"/>
    </row>
    <row r="33">
      <c r="A33" s="77"/>
      <c r="B33" s="74"/>
      <c r="C33" s="74"/>
      <c r="D33" s="74"/>
      <c r="E33" s="74"/>
      <c r="F33" s="74"/>
    </row>
  </sheetData>
  <printOptions/>
  <pageMargins bottom="1.0" footer="0.0" header="0.0" left="0.75" right="0.75" top="1.0"/>
  <pageSetup paperSize="9"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43"/>
    <col customWidth="1" min="2" max="2" width="70.43"/>
    <col customWidth="1" min="3" max="3" width="26.86"/>
    <col customWidth="1" min="4" max="4" width="39.57"/>
    <col customWidth="1" min="5" max="5" width="27.43"/>
    <col customWidth="1" min="6" max="26" width="8.71"/>
  </cols>
  <sheetData>
    <row r="1" ht="31.5" customHeight="1">
      <c r="A1" s="66" t="s">
        <v>123</v>
      </c>
      <c r="B1" s="5"/>
      <c r="C1" s="5"/>
      <c r="D1" s="5"/>
      <c r="E1" s="6"/>
    </row>
    <row r="2" ht="15.75" customHeight="1">
      <c r="A2" s="67" t="s">
        <v>125</v>
      </c>
    </row>
    <row r="3" ht="15.75" customHeight="1">
      <c r="A3" s="67" t="s">
        <v>126</v>
      </c>
    </row>
    <row r="4" ht="15.75" customHeight="1">
      <c r="A4" s="67" t="s">
        <v>127</v>
      </c>
    </row>
    <row r="5" ht="19.5" customHeight="1">
      <c r="A5" s="68" t="s">
        <v>128</v>
      </c>
      <c r="B5" s="68" t="s">
        <v>132</v>
      </c>
      <c r="C5" s="71" t="s">
        <v>34</v>
      </c>
      <c r="D5" s="71" t="s">
        <v>38</v>
      </c>
      <c r="E5" s="71" t="s">
        <v>41</v>
      </c>
    </row>
    <row r="6" ht="43.5" customHeight="1">
      <c r="A6" s="49" t="str">
        <f t="array" ref="A6">INDEX(DriverLineup[Driver], ROW()-ROW($A$6)+1)</f>
        <v>Anders Snabb</v>
      </c>
      <c r="B6" s="37" t="s">
        <v>134</v>
      </c>
      <c r="C6" s="37" t="s">
        <v>135</v>
      </c>
      <c r="D6" s="41" t="s">
        <v>136</v>
      </c>
      <c r="E6" s="41" t="s">
        <v>137</v>
      </c>
    </row>
    <row r="7" ht="22.5" customHeight="1">
      <c r="A7" s="49" t="str">
        <f t="array" ref="A7">INDEX(DriverLineup[Driver], ROW()-ROW($A$6)+1)</f>
        <v>Count Dragula</v>
      </c>
      <c r="B7" s="49" t="s">
        <v>138</v>
      </c>
      <c r="C7" s="49" t="s">
        <v>94</v>
      </c>
      <c r="D7" s="41" t="s">
        <v>140</v>
      </c>
      <c r="E7" s="41" t="s">
        <v>137</v>
      </c>
    </row>
    <row r="8" ht="43.5" customHeight="1">
      <c r="A8" s="49" t="str">
        <f t="array" ref="A8">INDEX(DriverLineup[Driver], ROW()-ROW($A$6)+1)</f>
        <v>Horace Bauer</v>
      </c>
      <c r="B8" s="49"/>
      <c r="C8" s="49"/>
      <c r="D8" s="41"/>
      <c r="E8" s="41" t="s">
        <v>137</v>
      </c>
    </row>
    <row r="9" ht="43.5" customHeight="1">
      <c r="A9" s="49" t="str">
        <f t="array" ref="A9">INDEX(DriverLineup[Driver], ROW()-ROW($A$6)+1)</f>
        <v>Jean Girard</v>
      </c>
      <c r="B9" s="49"/>
      <c r="C9" s="49"/>
      <c r="D9" s="41"/>
      <c r="E9" s="41" t="s">
        <v>137</v>
      </c>
    </row>
    <row r="10" ht="43.5" customHeight="1">
      <c r="A10" s="49" t="str">
        <f t="array" ref="A10">INDEX(DriverLineup[Driver], ROW()-ROW($A$6)+1)</f>
        <v>"Caveman" Dale Mercer</v>
      </c>
      <c r="B10" s="49"/>
      <c r="C10" s="49"/>
      <c r="D10" s="41"/>
      <c r="E10" s="41" t="s">
        <v>137</v>
      </c>
    </row>
    <row r="11" ht="43.5" customHeight="1">
      <c r="A11" s="49" t="str">
        <f t="array" ref="A11">INDEX(DriverLineup[Driver], ROW()-ROW($A$6)+1)</f>
        <v>Circe Belladonna</v>
      </c>
      <c r="B11" s="49" t="s">
        <v>146</v>
      </c>
      <c r="C11" s="49" t="s">
        <v>147</v>
      </c>
      <c r="D11" s="41" t="s">
        <v>148</v>
      </c>
      <c r="E11" s="41" t="s">
        <v>137</v>
      </c>
    </row>
    <row r="12" ht="43.5" customHeight="1">
      <c r="A12" s="49" t="str">
        <f t="array" ref="A12">INDEX(DriverLineup[Driver], ROW()-ROW($A$6)+1)</f>
        <v>Mr. Pink</v>
      </c>
      <c r="B12" s="49"/>
      <c r="C12" s="49"/>
      <c r="D12" s="41"/>
      <c r="E12" s="41" t="s">
        <v>137</v>
      </c>
    </row>
    <row r="13" ht="22.5" customHeight="1">
      <c r="A13" s="49" t="str">
        <f t="array" ref="A13">INDEX(DriverLineup[Driver], ROW()-ROW($A$6)+1)</f>
        <v>Chico Suave</v>
      </c>
      <c r="B13" s="49" t="s">
        <v>149</v>
      </c>
      <c r="C13" s="49" t="s">
        <v>135</v>
      </c>
      <c r="D13" s="41" t="s">
        <v>150</v>
      </c>
      <c r="E13" s="41" t="s">
        <v>137</v>
      </c>
    </row>
    <row r="14" ht="27.75" customHeight="1"/>
    <row r="15" ht="27.75" customHeight="1"/>
    <row r="18">
      <c r="A18" s="83"/>
      <c r="B18" s="36"/>
      <c r="C18" s="36"/>
      <c r="D18" s="36"/>
      <c r="E18" s="36"/>
    </row>
    <row r="19">
      <c r="A19" s="85"/>
      <c r="B19" s="86" t="s">
        <v>151</v>
      </c>
      <c r="C19" s="87" t="s">
        <v>152</v>
      </c>
      <c r="D19" s="87" t="s">
        <v>153</v>
      </c>
      <c r="E19" s="86" t="s">
        <v>154</v>
      </c>
    </row>
    <row r="20">
      <c r="A20" s="85"/>
      <c r="B20" s="86" t="s">
        <v>155</v>
      </c>
      <c r="C20" s="87" t="s">
        <v>152</v>
      </c>
      <c r="D20" s="87" t="s">
        <v>156</v>
      </c>
      <c r="E20" s="86" t="s">
        <v>154</v>
      </c>
    </row>
    <row r="21">
      <c r="A21" s="88"/>
      <c r="B21" s="89" t="s">
        <v>158</v>
      </c>
      <c r="C21" s="91" t="s">
        <v>159</v>
      </c>
      <c r="D21" s="91" t="s">
        <v>161</v>
      </c>
      <c r="E21" s="86" t="s">
        <v>154</v>
      </c>
    </row>
    <row r="22">
      <c r="A22" s="93"/>
      <c r="B22" s="95" t="s">
        <v>164</v>
      </c>
      <c r="C22" s="97" t="s">
        <v>167</v>
      </c>
      <c r="D22" s="97" t="s">
        <v>170</v>
      </c>
      <c r="E22" s="86" t="s">
        <v>154</v>
      </c>
    </row>
    <row r="23" ht="15.75" customHeight="1">
      <c r="A23" s="93"/>
      <c r="B23" s="95" t="s">
        <v>171</v>
      </c>
      <c r="C23" s="97" t="s">
        <v>167</v>
      </c>
      <c r="D23" s="97" t="s">
        <v>172</v>
      </c>
      <c r="E23" s="86" t="s">
        <v>154</v>
      </c>
    </row>
    <row r="24" ht="15.75" customHeight="1">
      <c r="A24" s="99"/>
      <c r="B24" s="103" t="s">
        <v>173</v>
      </c>
      <c r="C24" s="105" t="s">
        <v>159</v>
      </c>
      <c r="D24" s="106" t="s">
        <v>175</v>
      </c>
      <c r="E24" s="86" t="s">
        <v>154</v>
      </c>
    </row>
    <row r="25" ht="15.75" customHeight="1">
      <c r="A25" s="108"/>
      <c r="B25" s="110" t="s">
        <v>177</v>
      </c>
      <c r="C25" s="111" t="s">
        <v>159</v>
      </c>
      <c r="D25" s="111" t="s">
        <v>178</v>
      </c>
      <c r="E25" s="86" t="s">
        <v>154</v>
      </c>
    </row>
    <row r="26" ht="15.75" customHeight="1">
      <c r="A26" s="108"/>
      <c r="B26" s="110" t="s">
        <v>179</v>
      </c>
      <c r="C26" s="111" t="s">
        <v>159</v>
      </c>
      <c r="D26" s="111" t="s">
        <v>180</v>
      </c>
      <c r="E26" s="86" t="s">
        <v>154</v>
      </c>
    </row>
    <row r="27" ht="15.75" customHeight="1">
      <c r="A27" s="93"/>
      <c r="B27" s="95" t="s">
        <v>181</v>
      </c>
      <c r="C27" s="97" t="s">
        <v>167</v>
      </c>
      <c r="D27" s="97" t="s">
        <v>182</v>
      </c>
      <c r="E27" s="86" t="s">
        <v>154</v>
      </c>
    </row>
    <row r="28" ht="15.75" customHeight="1">
      <c r="A28" s="88"/>
      <c r="B28" s="89" t="s">
        <v>184</v>
      </c>
      <c r="C28" s="91" t="s">
        <v>152</v>
      </c>
      <c r="D28" s="91" t="s">
        <v>185</v>
      </c>
      <c r="E28" s="86" t="s">
        <v>154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4">
    <mergeCell ref="A1:E1"/>
    <mergeCell ref="A2:E2"/>
    <mergeCell ref="A3:E3"/>
    <mergeCell ref="A4:E4"/>
  </mergeCells>
  <printOptions/>
  <pageMargins bottom="1.0" footer="0.0" header="0.0" left="0.75" right="0.75" top="1.0"/>
  <pageSetup paperSize="9"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5.14"/>
    <col customWidth="1" min="5" max="5" width="27.0"/>
    <col customWidth="1" min="6" max="8" width="25.14"/>
    <col customWidth="1" min="9" max="24" width="8.71"/>
  </cols>
  <sheetData>
    <row r="1" ht="31.5" customHeight="1">
      <c r="A1" s="3" t="s">
        <v>133</v>
      </c>
      <c r="B1" s="5"/>
      <c r="C1" s="5"/>
      <c r="D1" s="5"/>
      <c r="E1" s="5"/>
      <c r="F1" s="5"/>
      <c r="G1" s="5"/>
      <c r="H1" s="6"/>
    </row>
    <row r="4" ht="19.5" customHeight="1">
      <c r="A4" s="76" t="s">
        <v>15</v>
      </c>
      <c r="B4" s="76" t="s">
        <v>110</v>
      </c>
      <c r="C4" s="76" t="s">
        <v>139</v>
      </c>
      <c r="D4" s="76" t="s">
        <v>141</v>
      </c>
      <c r="E4" s="76" t="s">
        <v>142</v>
      </c>
      <c r="F4" s="76" t="s">
        <v>143</v>
      </c>
      <c r="G4" s="76" t="s">
        <v>144</v>
      </c>
      <c r="H4" s="76" t="s">
        <v>145</v>
      </c>
    </row>
    <row r="5" ht="18.0" customHeight="1">
      <c r="A5" s="78" t="str">
        <f t="array" ref="A5">INDEX(DriverLineup[Driver], ROW()-ROW($A$5)+1)</f>
        <v>Anders Snabb</v>
      </c>
      <c r="B5" s="79" t="str">
        <f t="array" ref="B5">INDEX(DriverLineup[Team Name], ROW()-ROW($A$5)+1)</f>
        <v>FjordFart</v>
      </c>
      <c r="C5" s="80">
        <v>3.0</v>
      </c>
      <c r="D5" s="80">
        <v>2.0</v>
      </c>
      <c r="E5" s="81"/>
      <c r="F5" s="81"/>
      <c r="G5" s="82">
        <f t="array" ref="G5">SUMPRODUCT(XLOOKUP($C5:$F5, PointLookup[Position], PointLookup[Points], 0))</f>
        <v>10</v>
      </c>
      <c r="H5" s="84">
        <f t="shared" ref="H5:H12" si="1">RANK(G5,G$5:G$12,0)</f>
        <v>2</v>
      </c>
    </row>
    <row r="6" ht="18.0" customHeight="1">
      <c r="A6" s="78" t="str">
        <f t="array" ref="A6">INDEX(DriverLineup[Driver], ROW()-ROW($A$5)+1)</f>
        <v>Count Dragula</v>
      </c>
      <c r="B6" s="94" t="str">
        <f t="array" ref="B6">INDEX(DriverLineup[Team Name], ROW()-ROW($A$5)+1)</f>
        <v>Blüd Bath</v>
      </c>
      <c r="C6" s="96">
        <v>2.0</v>
      </c>
      <c r="D6" s="96">
        <v>4.0</v>
      </c>
      <c r="E6" s="100"/>
      <c r="F6" s="100"/>
      <c r="G6" s="84">
        <f t="array" ref="G6">SUMPRODUCT(XLOOKUP($C6:$F6, PointLookup[Position], PointLookup[Points], 0))</f>
        <v>9</v>
      </c>
      <c r="H6" s="84">
        <f t="shared" si="1"/>
        <v>3</v>
      </c>
    </row>
    <row r="7" ht="18.0" customHeight="1">
      <c r="A7" s="78" t="str">
        <f t="array" ref="A7">INDEX(DriverLineup[Driver], ROW()-ROW($A$5)+1)</f>
        <v>Horace Bauer</v>
      </c>
      <c r="B7" s="79" t="str">
        <f t="array" ref="B7">INDEX(DriverLineup[Team Name], ROW()-ROW($A$5)+1)</f>
        <v>Vroom</v>
      </c>
      <c r="C7" s="80">
        <v>4.0</v>
      </c>
      <c r="D7" s="80">
        <v>5.0</v>
      </c>
      <c r="E7" s="81"/>
      <c r="F7" s="81"/>
      <c r="G7" s="84">
        <f t="array" ref="G7">SUMPRODUCT(XLOOKUP($C7:$F7, PointLookup[Position], PointLookup[Points], 0))</f>
        <v>5</v>
      </c>
      <c r="H7" s="84">
        <f t="shared" si="1"/>
        <v>4</v>
      </c>
    </row>
    <row r="8" ht="18.0" customHeight="1">
      <c r="A8" s="78" t="str">
        <f t="array" ref="A8">INDEX(DriverLineup[Driver], ROW()-ROW($A$5)+1)</f>
        <v>Jean Girard</v>
      </c>
      <c r="B8" s="94" t="str">
        <f t="array" ref="B8">INDEX(DriverLineup[Team Name], ROW()-ROW($A$5)+1)</f>
        <v>Perrier</v>
      </c>
      <c r="C8" s="96">
        <v>1.0</v>
      </c>
      <c r="D8" s="96">
        <v>1.0</v>
      </c>
      <c r="E8" s="100"/>
      <c r="F8" s="100"/>
      <c r="G8" s="84">
        <f t="array" ref="G8">SUMPRODUCT(XLOOKUP($C8:$F8, PointLookup[Position], PointLookup[Points], 0))</f>
        <v>18</v>
      </c>
      <c r="H8" s="84">
        <f t="shared" si="1"/>
        <v>1</v>
      </c>
    </row>
    <row r="9" ht="18.0" customHeight="1">
      <c r="A9" s="78" t="str">
        <f t="array" ref="A9">INDEX(DriverLineup[Driver], ROW()-ROW($A$5)+1)</f>
        <v>"Caveman" Dale Mercer</v>
      </c>
      <c r="B9" s="79" t="str">
        <f t="array" ref="B9">INDEX(DriverLineup[Team Name], ROW()-ROW($A$5)+1)</f>
        <v>Team Neandrathal</v>
      </c>
      <c r="C9" s="80">
        <v>7.0</v>
      </c>
      <c r="D9" s="80">
        <v>3.0</v>
      </c>
      <c r="E9" s="81"/>
      <c r="F9" s="81"/>
      <c r="G9" s="84">
        <f t="array" ref="G9">SUMPRODUCT(XLOOKUP($C9:$F9, PointLookup[Position], PointLookup[Points], 0))</f>
        <v>4</v>
      </c>
      <c r="H9" s="84">
        <f t="shared" si="1"/>
        <v>5</v>
      </c>
    </row>
    <row r="10" ht="18.0" customHeight="1">
      <c r="A10" s="78" t="str">
        <f t="array" ref="A10">INDEX(DriverLineup[Driver], ROW()-ROW($A$5)+1)</f>
        <v>Circe Belladonna</v>
      </c>
      <c r="B10" s="94" t="str">
        <f t="array" ref="B10">INDEX(DriverLineup[Team Name], ROW()-ROW($A$5)+1)</f>
        <v>Piggie</v>
      </c>
      <c r="C10" s="96">
        <v>6.0</v>
      </c>
      <c r="D10" s="96">
        <v>8.0</v>
      </c>
      <c r="E10" s="100"/>
      <c r="F10" s="100"/>
      <c r="G10" s="84">
        <f t="array" ref="G10">SUMPRODUCT(XLOOKUP($C10:$F10, PointLookup[Position], PointLookup[Points], 0))</f>
        <v>1</v>
      </c>
      <c r="H10" s="84">
        <f t="shared" si="1"/>
        <v>7</v>
      </c>
    </row>
    <row r="11" ht="18.0" customHeight="1">
      <c r="A11" s="78" t="str">
        <f t="array" ref="A11">INDEX(DriverLineup[Driver], ROW()-ROW($A$5)+1)</f>
        <v>Mr. Pink</v>
      </c>
      <c r="B11" s="79" t="str">
        <f t="array" ref="B11">INDEX(DriverLineup[Team Name], ROW()-ROW($A$5)+1)</f>
        <v>Team No Tip</v>
      </c>
      <c r="C11" s="80">
        <v>5.0</v>
      </c>
      <c r="D11" s="80">
        <v>7.0</v>
      </c>
      <c r="E11" s="81"/>
      <c r="F11" s="81"/>
      <c r="G11" s="84">
        <f t="array" ref="G11">SUMPRODUCT(XLOOKUP($C11:$F11, PointLookup[Position], PointLookup[Points], 0))</f>
        <v>2</v>
      </c>
      <c r="H11" s="84">
        <f t="shared" si="1"/>
        <v>6</v>
      </c>
    </row>
    <row r="12" ht="18.0" customHeight="1">
      <c r="A12" s="78" t="str">
        <f t="array" ref="A12">INDEX(DriverLineup[Driver], ROW()-ROW($A$5)+1)</f>
        <v>Chico Suave</v>
      </c>
      <c r="B12" s="94" t="str">
        <f t="array" ref="B12">INDEX(DriverLineup[Team Name], ROW()-ROW($A$5)+1)</f>
        <v>Vassalligator</v>
      </c>
      <c r="C12" s="96">
        <v>8.0</v>
      </c>
      <c r="D12" s="96">
        <v>6.0</v>
      </c>
      <c r="E12" s="100"/>
      <c r="F12" s="100"/>
      <c r="G12" s="84">
        <f t="array" ref="G12">SUMPRODUCT(XLOOKUP($C12:$F12, PointLookup[Position], PointLookup[Points], 0))</f>
        <v>1</v>
      </c>
      <c r="H12" s="84">
        <f t="shared" si="1"/>
        <v>7</v>
      </c>
    </row>
    <row r="14" ht="22.5" customHeight="1">
      <c r="A14" s="133" t="s">
        <v>145</v>
      </c>
      <c r="B14" s="133" t="s">
        <v>215</v>
      </c>
    </row>
    <row r="15" ht="18.0" customHeight="1">
      <c r="A15" s="134">
        <v>1.0</v>
      </c>
      <c r="B15" s="134">
        <v>9.0</v>
      </c>
    </row>
    <row r="16" ht="15.75" customHeight="1">
      <c r="A16" s="135">
        <v>2.0</v>
      </c>
      <c r="B16" s="135">
        <v>6.0</v>
      </c>
    </row>
    <row r="17" ht="15.75" customHeight="1">
      <c r="A17" s="136">
        <v>3.0</v>
      </c>
      <c r="B17" s="136">
        <v>4.0</v>
      </c>
    </row>
    <row r="18" ht="15.75" customHeight="1">
      <c r="A18" s="137">
        <v>4.0</v>
      </c>
      <c r="B18" s="137">
        <v>3.0</v>
      </c>
    </row>
    <row r="19" ht="15.75" customHeight="1">
      <c r="A19" s="137">
        <v>5.0</v>
      </c>
      <c r="B19" s="137">
        <v>2.0</v>
      </c>
    </row>
    <row r="20" ht="15.75" customHeight="1">
      <c r="A20" s="137">
        <v>6.0</v>
      </c>
      <c r="B20" s="137">
        <v>1.0</v>
      </c>
    </row>
    <row r="21" ht="15.75" customHeight="1">
      <c r="A21" s="138">
        <v>7.0</v>
      </c>
      <c r="B21" s="138">
        <v>0.0</v>
      </c>
    </row>
    <row r="22" ht="15.75" customHeight="1">
      <c r="A22" s="138">
        <v>8.0</v>
      </c>
      <c r="B22" s="138">
        <v>0.0</v>
      </c>
    </row>
    <row r="23" ht="15.75" customHeight="1">
      <c r="A23" s="138">
        <v>0.0</v>
      </c>
      <c r="B23" s="138">
        <v>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1">
    <mergeCell ref="A1:H1"/>
  </mergeCells>
  <dataValidations>
    <dataValidation type="custom" allowBlank="1" showDropDown="1" sqref="G5:H12">
      <formula1>AND(ISNUMBER(G5),(NOT(OR(NOT(ISERROR(DATEVALUE(G5))), AND(ISNUMBER(G5), LEFT(CELL("format", G5))="D")))))</formula1>
    </dataValidation>
  </dataValidations>
  <printOptions/>
  <pageMargins bottom="1.0" footer="0.0" header="0.0" left="0.75" right="0.75" top="1.0"/>
  <pageSetup paperSize="9" orientation="portrait"/>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8.29"/>
    <col customWidth="1" min="3" max="3" width="72.57"/>
    <col customWidth="1" min="4" max="6" width="28.29"/>
    <col customWidth="1" min="7" max="28" width="45.29"/>
  </cols>
  <sheetData>
    <row r="1" ht="23.25" customHeight="1">
      <c r="A1" s="90" t="s">
        <v>157</v>
      </c>
      <c r="B1" s="90" t="s">
        <v>160</v>
      </c>
      <c r="C1" s="92" t="s">
        <v>162</v>
      </c>
      <c r="D1" s="92" t="s">
        <v>163</v>
      </c>
      <c r="E1" s="90" t="s">
        <v>165</v>
      </c>
      <c r="F1" s="90" t="s">
        <v>166</v>
      </c>
      <c r="G1" s="20"/>
      <c r="H1" s="20"/>
      <c r="I1" s="22"/>
    </row>
    <row r="2" ht="23.25" customHeight="1">
      <c r="A2" s="98" t="s">
        <v>168</v>
      </c>
      <c r="B2" s="102">
        <v>1.0</v>
      </c>
      <c r="C2" s="102"/>
      <c r="D2" s="104">
        <v>2.0</v>
      </c>
      <c r="E2" s="102" t="s">
        <v>174</v>
      </c>
      <c r="F2" s="109">
        <v>1.5E7</v>
      </c>
      <c r="G2" s="35"/>
      <c r="H2" s="35"/>
    </row>
    <row r="3" ht="23.25" customHeight="1">
      <c r="A3" s="98" t="s">
        <v>168</v>
      </c>
      <c r="B3" s="102">
        <v>2.0</v>
      </c>
      <c r="C3" s="102"/>
      <c r="D3" s="104">
        <v>2.0</v>
      </c>
      <c r="E3" s="102" t="s">
        <v>183</v>
      </c>
      <c r="F3" s="109">
        <v>1.8E7</v>
      </c>
      <c r="G3" s="35"/>
      <c r="H3" s="35"/>
    </row>
    <row r="4" ht="23.25" customHeight="1">
      <c r="A4" s="98" t="s">
        <v>168</v>
      </c>
      <c r="B4" s="102">
        <v>3.0</v>
      </c>
      <c r="C4" s="102"/>
      <c r="D4" s="104">
        <v>2.0</v>
      </c>
      <c r="E4" s="102" t="s">
        <v>186</v>
      </c>
      <c r="F4" s="109">
        <v>7000000.0</v>
      </c>
      <c r="G4" s="35"/>
      <c r="H4" s="35"/>
    </row>
    <row r="5" ht="23.25" customHeight="1">
      <c r="A5" s="98" t="s">
        <v>190</v>
      </c>
      <c r="B5" s="104">
        <v>4.0</v>
      </c>
      <c r="C5" s="104"/>
      <c r="D5" s="104">
        <v>2.0</v>
      </c>
      <c r="E5" s="104" t="s">
        <v>186</v>
      </c>
      <c r="F5" s="114">
        <v>6000000.0</v>
      </c>
      <c r="G5" s="35"/>
      <c r="H5" s="35"/>
    </row>
    <row r="6" ht="23.25" customHeight="1">
      <c r="A6" s="98" t="s">
        <v>190</v>
      </c>
      <c r="B6" s="104">
        <v>5.0</v>
      </c>
      <c r="C6" s="104"/>
      <c r="D6" s="104">
        <v>2.0</v>
      </c>
      <c r="E6" s="104" t="s">
        <v>193</v>
      </c>
      <c r="F6" s="114">
        <v>1.0E7</v>
      </c>
      <c r="G6" s="35"/>
      <c r="H6" s="35"/>
    </row>
    <row r="7" ht="23.25" customHeight="1">
      <c r="A7" s="98" t="s">
        <v>190</v>
      </c>
      <c r="B7" s="104">
        <v>6.0</v>
      </c>
      <c r="C7" s="104"/>
      <c r="D7" s="104">
        <v>2.0</v>
      </c>
      <c r="E7" s="104" t="s">
        <v>199</v>
      </c>
      <c r="F7" s="109">
        <v>4000000.0</v>
      </c>
      <c r="G7" s="35"/>
      <c r="H7" s="35"/>
    </row>
    <row r="8" ht="23.25" customHeight="1">
      <c r="A8" s="98" t="s">
        <v>200</v>
      </c>
      <c r="B8" s="104">
        <v>7.0</v>
      </c>
      <c r="C8" s="104"/>
      <c r="D8" s="104">
        <v>2.0</v>
      </c>
      <c r="E8" s="104" t="s">
        <v>201</v>
      </c>
      <c r="F8" s="114">
        <v>1000000.0</v>
      </c>
      <c r="G8" s="35"/>
      <c r="H8" s="35"/>
    </row>
    <row r="9" ht="23.25" customHeight="1">
      <c r="A9" s="98" t="s">
        <v>200</v>
      </c>
      <c r="B9" s="104">
        <v>8.0</v>
      </c>
      <c r="C9" s="104"/>
      <c r="D9" s="104">
        <v>2.0</v>
      </c>
      <c r="E9" s="104" t="s">
        <v>186</v>
      </c>
      <c r="F9" s="114">
        <v>6500000.0</v>
      </c>
      <c r="G9" s="35"/>
      <c r="H9" s="35"/>
    </row>
    <row r="10" ht="22.5" customHeight="1">
      <c r="A10" s="98" t="s">
        <v>200</v>
      </c>
      <c r="B10" s="104">
        <v>9.0</v>
      </c>
      <c r="C10" s="104"/>
      <c r="D10" s="104">
        <v>2.0</v>
      </c>
      <c r="E10" s="104" t="s">
        <v>186</v>
      </c>
      <c r="F10" s="114">
        <v>6500000.0</v>
      </c>
      <c r="G10" s="35"/>
      <c r="H10" s="35"/>
    </row>
    <row r="11" ht="22.5" customHeight="1">
      <c r="A11" s="98" t="s">
        <v>200</v>
      </c>
      <c r="B11" s="104">
        <v>10.0</v>
      </c>
      <c r="C11" s="104"/>
      <c r="D11" s="104">
        <v>2.0</v>
      </c>
      <c r="E11" s="104" t="s">
        <v>193</v>
      </c>
      <c r="F11" s="114">
        <v>1.0E7</v>
      </c>
      <c r="G11" s="35"/>
      <c r="H11" s="35"/>
    </row>
    <row r="12" ht="22.5" customHeight="1">
      <c r="A12" s="98" t="s">
        <v>204</v>
      </c>
      <c r="B12" s="102">
        <v>11.0</v>
      </c>
      <c r="C12" s="102"/>
      <c r="D12" s="104">
        <v>2.0</v>
      </c>
      <c r="E12" s="102" t="s">
        <v>193</v>
      </c>
      <c r="F12" s="109">
        <v>1.0E7</v>
      </c>
      <c r="G12" s="35"/>
      <c r="H12" s="35"/>
    </row>
    <row r="13" ht="22.5" customHeight="1">
      <c r="A13" s="98" t="s">
        <v>204</v>
      </c>
      <c r="B13" s="102">
        <v>12.0</v>
      </c>
      <c r="C13" s="102"/>
      <c r="D13" s="104">
        <v>2.0</v>
      </c>
      <c r="E13" s="102" t="s">
        <v>186</v>
      </c>
      <c r="F13" s="109">
        <v>7500000.0</v>
      </c>
      <c r="G13" s="35"/>
      <c r="H13" s="35"/>
    </row>
    <row r="14" ht="22.5" customHeight="1">
      <c r="A14" s="98" t="s">
        <v>204</v>
      </c>
      <c r="B14" s="102">
        <v>13.0</v>
      </c>
      <c r="C14" s="102"/>
      <c r="D14" s="104">
        <v>2.0</v>
      </c>
      <c r="E14" s="102" t="s">
        <v>186</v>
      </c>
      <c r="F14" s="114">
        <v>6500000.0</v>
      </c>
      <c r="G14" s="35"/>
      <c r="H14" s="35"/>
    </row>
    <row r="15" ht="22.5" customHeight="1">
      <c r="A15" s="98" t="s">
        <v>205</v>
      </c>
      <c r="B15" s="102">
        <v>14.0</v>
      </c>
      <c r="C15" s="102"/>
      <c r="D15" s="104">
        <v>2.0</v>
      </c>
      <c r="E15" s="102" t="s">
        <v>193</v>
      </c>
      <c r="F15" s="109">
        <v>1.0E7</v>
      </c>
      <c r="G15" s="35"/>
      <c r="H15" s="35"/>
    </row>
    <row r="16" ht="22.5" customHeight="1">
      <c r="A16" s="98" t="s">
        <v>205</v>
      </c>
      <c r="B16" s="102">
        <v>15.0</v>
      </c>
      <c r="C16" s="102"/>
      <c r="D16" s="104">
        <v>2.0</v>
      </c>
      <c r="E16" s="102" t="s">
        <v>193</v>
      </c>
      <c r="F16" s="109">
        <v>1.0E7</v>
      </c>
      <c r="G16" s="35"/>
      <c r="H16" s="35"/>
    </row>
    <row r="17" ht="22.5" customHeight="1">
      <c r="A17" s="98" t="s">
        <v>205</v>
      </c>
      <c r="B17" s="102">
        <v>16.0</v>
      </c>
      <c r="C17" s="102"/>
      <c r="D17" s="104">
        <v>2.0</v>
      </c>
      <c r="E17" s="102" t="s">
        <v>186</v>
      </c>
      <c r="F17" s="114">
        <v>6500000.0</v>
      </c>
      <c r="G17" s="35"/>
      <c r="H17" s="35"/>
    </row>
    <row r="18" ht="22.5" customHeight="1">
      <c r="A18" s="129" t="s">
        <v>206</v>
      </c>
      <c r="B18" s="102">
        <v>17.0</v>
      </c>
      <c r="C18" s="102"/>
      <c r="D18" s="104">
        <v>2.0</v>
      </c>
      <c r="E18" s="102" t="s">
        <v>207</v>
      </c>
      <c r="F18" s="109" t="s">
        <v>207</v>
      </c>
      <c r="G18" s="35"/>
      <c r="H18" s="35"/>
    </row>
    <row r="19" ht="22.5" customHeight="1">
      <c r="A19" s="98" t="s">
        <v>190</v>
      </c>
      <c r="B19" s="104">
        <v>18.0</v>
      </c>
      <c r="C19" s="104"/>
      <c r="D19" s="104">
        <v>2.0</v>
      </c>
      <c r="E19" s="104" t="s">
        <v>186</v>
      </c>
      <c r="F19" s="114">
        <v>6000000.0</v>
      </c>
      <c r="G19" s="35"/>
      <c r="H19" s="35"/>
    </row>
    <row r="20" ht="22.5" customHeight="1">
      <c r="A20" s="98" t="s">
        <v>190</v>
      </c>
      <c r="B20" s="104">
        <v>19.0</v>
      </c>
      <c r="C20" s="104"/>
      <c r="D20" s="104">
        <v>2.0</v>
      </c>
      <c r="E20" s="104" t="s">
        <v>186</v>
      </c>
      <c r="F20" s="114">
        <v>7000000.0</v>
      </c>
      <c r="G20" s="35"/>
      <c r="H20" s="35"/>
    </row>
    <row r="21" ht="22.5" customHeight="1">
      <c r="A21" s="98" t="s">
        <v>190</v>
      </c>
      <c r="B21" s="104">
        <v>20.0</v>
      </c>
      <c r="C21" s="104"/>
      <c r="D21" s="104">
        <v>2.0</v>
      </c>
      <c r="E21" s="104" t="s">
        <v>186</v>
      </c>
      <c r="F21" s="114">
        <v>7000000.0</v>
      </c>
      <c r="G21" s="35"/>
      <c r="H21" s="35"/>
    </row>
    <row r="22" ht="22.5" customHeight="1">
      <c r="A22" s="98" t="s">
        <v>204</v>
      </c>
      <c r="B22" s="102">
        <v>21.0</v>
      </c>
      <c r="C22" s="102"/>
      <c r="D22" s="104">
        <v>2.0</v>
      </c>
      <c r="E22" s="102" t="s">
        <v>193</v>
      </c>
      <c r="F22" s="109">
        <v>1.0E7</v>
      </c>
      <c r="G22" s="35"/>
      <c r="H22" s="35"/>
      <c r="I22" s="70"/>
    </row>
    <row r="23" ht="22.5" customHeight="1">
      <c r="A23" s="129" t="s">
        <v>209</v>
      </c>
      <c r="B23" s="102">
        <v>22.0</v>
      </c>
      <c r="C23" s="102" t="s">
        <v>210</v>
      </c>
      <c r="D23" s="104">
        <v>2.0</v>
      </c>
      <c r="E23" s="102" t="s">
        <v>199</v>
      </c>
      <c r="F23" s="109">
        <v>5000000.0</v>
      </c>
      <c r="G23" s="35"/>
      <c r="H23" s="35"/>
      <c r="I23" s="70"/>
    </row>
    <row r="24" ht="22.5" customHeight="1">
      <c r="A24" s="129" t="s">
        <v>209</v>
      </c>
      <c r="B24" s="102">
        <v>23.0</v>
      </c>
      <c r="C24" s="102" t="s">
        <v>211</v>
      </c>
      <c r="D24" s="104">
        <v>2.0</v>
      </c>
      <c r="E24" s="102" t="s">
        <v>186</v>
      </c>
      <c r="F24" s="109">
        <v>7500000.0</v>
      </c>
      <c r="G24" s="35"/>
      <c r="H24" s="35"/>
      <c r="I24" s="70"/>
    </row>
    <row r="25" ht="22.5" customHeight="1">
      <c r="A25" s="98" t="s">
        <v>212</v>
      </c>
      <c r="B25" s="104">
        <v>24.0</v>
      </c>
      <c r="C25" s="104"/>
      <c r="D25" s="104">
        <v>2.0</v>
      </c>
      <c r="E25" s="104" t="s">
        <v>186</v>
      </c>
      <c r="F25" s="114">
        <v>6000000.0</v>
      </c>
    </row>
    <row r="26" ht="22.5" customHeight="1">
      <c r="A26" s="98" t="s">
        <v>212</v>
      </c>
      <c r="B26" s="102">
        <v>25.0</v>
      </c>
      <c r="C26" s="102"/>
      <c r="D26" s="104">
        <v>2.0</v>
      </c>
      <c r="E26" s="102" t="s">
        <v>186</v>
      </c>
      <c r="F26" s="114">
        <v>6500000.0</v>
      </c>
    </row>
    <row r="27" ht="22.5" customHeight="1">
      <c r="A27" s="104" t="s">
        <v>212</v>
      </c>
      <c r="B27" s="102">
        <v>26.0</v>
      </c>
      <c r="C27" s="102"/>
      <c r="D27" s="104">
        <v>2.0</v>
      </c>
      <c r="E27" s="102" t="s">
        <v>193</v>
      </c>
      <c r="F27" s="109">
        <v>9000000.0</v>
      </c>
    </row>
    <row r="28" ht="22.5" customHeight="1">
      <c r="A28" s="104" t="s">
        <v>212</v>
      </c>
      <c r="B28" s="102">
        <v>27.0</v>
      </c>
      <c r="C28" s="102"/>
      <c r="D28" s="104">
        <v>2.0</v>
      </c>
      <c r="E28" s="102" t="s">
        <v>186</v>
      </c>
      <c r="F28" s="109">
        <v>7000000.0</v>
      </c>
    </row>
    <row r="29" ht="22.5" customHeight="1">
      <c r="A29" s="104" t="s">
        <v>212</v>
      </c>
      <c r="B29" s="102">
        <v>28.0</v>
      </c>
      <c r="C29" s="102"/>
      <c r="D29" s="104">
        <v>2.0</v>
      </c>
      <c r="E29" s="102" t="s">
        <v>186</v>
      </c>
      <c r="F29" s="109">
        <v>7500000.0</v>
      </c>
    </row>
    <row r="30" ht="22.5" customHeight="1">
      <c r="A30" s="104" t="s">
        <v>205</v>
      </c>
      <c r="B30" s="102">
        <v>29.0</v>
      </c>
      <c r="C30" s="102"/>
      <c r="D30" s="104">
        <v>2.0</v>
      </c>
      <c r="E30" s="102" t="s">
        <v>193</v>
      </c>
      <c r="F30" s="109">
        <v>1.1E7</v>
      </c>
    </row>
    <row r="31" ht="22.5" customHeight="1">
      <c r="A31" s="104" t="s">
        <v>205</v>
      </c>
      <c r="B31" s="102">
        <v>30.0</v>
      </c>
      <c r="C31" s="102"/>
      <c r="D31" s="104">
        <v>2.0</v>
      </c>
      <c r="E31" s="102" t="s">
        <v>186</v>
      </c>
      <c r="F31" s="114">
        <v>6000000.0</v>
      </c>
    </row>
    <row r="32" ht="22.5" customHeight="1">
      <c r="A32" s="104" t="s">
        <v>205</v>
      </c>
      <c r="B32" s="102">
        <v>31.0</v>
      </c>
      <c r="C32" s="102"/>
      <c r="D32" s="104">
        <v>2.0</v>
      </c>
      <c r="E32" s="102" t="s">
        <v>193</v>
      </c>
      <c r="F32" s="109">
        <v>1.1E7</v>
      </c>
    </row>
    <row r="33" ht="22.5" customHeight="1">
      <c r="A33" s="104" t="s">
        <v>216</v>
      </c>
      <c r="B33" s="104">
        <v>32.0</v>
      </c>
      <c r="C33" s="104"/>
      <c r="D33" s="104">
        <v>2.0</v>
      </c>
      <c r="E33" s="104" t="s">
        <v>186</v>
      </c>
      <c r="F33" s="114">
        <v>8000000.0</v>
      </c>
    </row>
    <row r="34" ht="22.5" customHeight="1">
      <c r="A34" s="104" t="s">
        <v>216</v>
      </c>
      <c r="B34" s="104">
        <v>33.0</v>
      </c>
      <c r="C34" s="104"/>
      <c r="D34" s="104">
        <v>2.0</v>
      </c>
      <c r="E34" s="104" t="s">
        <v>193</v>
      </c>
      <c r="F34" s="114">
        <v>1.0E7</v>
      </c>
    </row>
    <row r="35" ht="22.5" customHeight="1">
      <c r="A35" s="104" t="s">
        <v>216</v>
      </c>
      <c r="B35" s="104">
        <v>34.0</v>
      </c>
      <c r="C35" s="104"/>
      <c r="D35" s="104">
        <v>2.0</v>
      </c>
      <c r="E35" s="104" t="s">
        <v>193</v>
      </c>
      <c r="F35" s="114">
        <v>1.1E7</v>
      </c>
    </row>
    <row r="36" ht="22.5" customHeight="1">
      <c r="A36" s="104" t="s">
        <v>216</v>
      </c>
      <c r="B36" s="104">
        <v>35.0</v>
      </c>
      <c r="C36" s="104"/>
      <c r="D36" s="104">
        <v>2.0</v>
      </c>
      <c r="E36" s="104" t="s">
        <v>186</v>
      </c>
      <c r="F36" s="114">
        <v>8000000.0</v>
      </c>
    </row>
    <row r="37" ht="22.5" customHeight="1">
      <c r="A37" s="104" t="s">
        <v>217</v>
      </c>
      <c r="B37" s="104">
        <v>36.0</v>
      </c>
      <c r="C37" s="104"/>
      <c r="D37" s="104">
        <v>2.0</v>
      </c>
      <c r="E37" s="104" t="s">
        <v>199</v>
      </c>
      <c r="F37" s="139">
        <v>2000000.0</v>
      </c>
    </row>
    <row r="38" ht="22.5" customHeight="1">
      <c r="A38" s="104" t="s">
        <v>217</v>
      </c>
      <c r="B38" s="104">
        <v>37.0</v>
      </c>
      <c r="C38" s="104"/>
      <c r="D38" s="104">
        <v>2.0</v>
      </c>
      <c r="E38" s="104" t="s">
        <v>199</v>
      </c>
      <c r="F38" s="109">
        <v>5000000.0</v>
      </c>
    </row>
    <row r="39" ht="22.5" customHeight="1">
      <c r="A39" s="104" t="s">
        <v>217</v>
      </c>
      <c r="B39" s="104">
        <v>38.0</v>
      </c>
      <c r="C39" s="104"/>
      <c r="D39" s="104">
        <v>2.0</v>
      </c>
      <c r="E39" s="104" t="s">
        <v>199</v>
      </c>
      <c r="F39" s="109">
        <v>5000000.0</v>
      </c>
    </row>
    <row r="40" ht="22.5" customHeight="1">
      <c r="A40" s="104" t="s">
        <v>217</v>
      </c>
      <c r="B40" s="104">
        <v>39.0</v>
      </c>
      <c r="C40" s="104"/>
      <c r="D40" s="104">
        <v>2.0</v>
      </c>
      <c r="E40" s="104" t="s">
        <v>199</v>
      </c>
      <c r="F40" s="139">
        <v>2000000.0</v>
      </c>
    </row>
    <row r="41" ht="22.5" customHeight="1">
      <c r="A41" s="104" t="s">
        <v>217</v>
      </c>
      <c r="B41" s="104">
        <v>40.0</v>
      </c>
      <c r="C41" s="104"/>
      <c r="D41" s="104">
        <v>2.0</v>
      </c>
      <c r="E41" s="104" t="s">
        <v>186</v>
      </c>
      <c r="F41" s="114">
        <v>7500000.0</v>
      </c>
    </row>
    <row r="42" ht="22.5" customHeight="1">
      <c r="A42" s="104" t="s">
        <v>217</v>
      </c>
      <c r="B42" s="104">
        <v>41.0</v>
      </c>
      <c r="C42" s="104"/>
      <c r="D42" s="104">
        <v>2.0</v>
      </c>
      <c r="E42" s="104" t="s">
        <v>186</v>
      </c>
      <c r="F42" s="114">
        <v>8000000.0</v>
      </c>
    </row>
    <row r="43" ht="22.5" customHeight="1">
      <c r="A43" s="104" t="s">
        <v>220</v>
      </c>
      <c r="B43" s="102">
        <v>42.0</v>
      </c>
      <c r="C43" s="102"/>
      <c r="D43" s="104">
        <v>2.0</v>
      </c>
      <c r="E43" s="102" t="s">
        <v>199</v>
      </c>
      <c r="F43" s="109">
        <v>5000000.0</v>
      </c>
    </row>
    <row r="44" ht="22.5" customHeight="1">
      <c r="A44" s="104" t="s">
        <v>220</v>
      </c>
      <c r="B44" s="102">
        <v>43.0</v>
      </c>
      <c r="C44" s="102"/>
      <c r="D44" s="104">
        <v>2.0</v>
      </c>
      <c r="E44" s="102" t="s">
        <v>174</v>
      </c>
      <c r="F44" s="109">
        <v>1.5E7</v>
      </c>
    </row>
    <row r="45" ht="22.5" customHeight="1">
      <c r="A45" s="104" t="s">
        <v>227</v>
      </c>
      <c r="B45" s="102">
        <v>44.0</v>
      </c>
      <c r="C45" s="102" t="s">
        <v>229</v>
      </c>
      <c r="D45" s="104">
        <v>2.0</v>
      </c>
      <c r="E45" s="102" t="s">
        <v>193</v>
      </c>
      <c r="F45" s="109">
        <v>1.1E7</v>
      </c>
    </row>
    <row r="46" ht="22.5" customHeight="1">
      <c r="A46" s="104" t="s">
        <v>227</v>
      </c>
      <c r="B46" s="102">
        <v>45.0</v>
      </c>
      <c r="C46" s="102" t="s">
        <v>234</v>
      </c>
      <c r="D46" s="104">
        <v>2.0</v>
      </c>
      <c r="E46" s="102" t="s">
        <v>193</v>
      </c>
      <c r="F46" s="109">
        <v>1.0E7</v>
      </c>
    </row>
    <row r="47" ht="22.5" customHeight="1">
      <c r="A47" s="104" t="s">
        <v>227</v>
      </c>
      <c r="B47" s="102">
        <v>46.0</v>
      </c>
      <c r="C47" s="102" t="s">
        <v>238</v>
      </c>
      <c r="D47" s="104">
        <v>2.0</v>
      </c>
      <c r="E47" s="102" t="s">
        <v>199</v>
      </c>
      <c r="F47" s="109">
        <v>5000000.0</v>
      </c>
    </row>
    <row r="48" ht="22.5" customHeight="1">
      <c r="A48" s="104" t="s">
        <v>168</v>
      </c>
      <c r="B48" s="102">
        <v>47.0</v>
      </c>
      <c r="C48" s="102"/>
      <c r="D48" s="104">
        <v>2.0</v>
      </c>
      <c r="E48" s="102" t="s">
        <v>193</v>
      </c>
      <c r="F48" s="109">
        <v>1.2E7</v>
      </c>
    </row>
    <row r="49" ht="22.5" customHeight="1">
      <c r="A49" s="102" t="s">
        <v>206</v>
      </c>
      <c r="B49" s="102">
        <v>48.0</v>
      </c>
      <c r="C49" s="102"/>
      <c r="D49" s="104">
        <v>2.0</v>
      </c>
      <c r="E49" s="102" t="s">
        <v>207</v>
      </c>
      <c r="F49" s="109" t="s">
        <v>207</v>
      </c>
    </row>
    <row r="50" ht="22.5" customHeight="1">
      <c r="A50" s="102" t="s">
        <v>241</v>
      </c>
      <c r="B50" s="102">
        <v>49.0</v>
      </c>
      <c r="C50" s="102" t="s">
        <v>242</v>
      </c>
      <c r="D50" s="104">
        <v>2.0</v>
      </c>
      <c r="E50" s="102" t="s">
        <v>199</v>
      </c>
      <c r="F50" s="109">
        <v>4000000.0</v>
      </c>
    </row>
    <row r="51" ht="22.5" customHeight="1">
      <c r="A51" s="102" t="s">
        <v>241</v>
      </c>
      <c r="B51" s="102">
        <v>50.0</v>
      </c>
      <c r="C51" s="102" t="s">
        <v>243</v>
      </c>
      <c r="D51" s="104">
        <v>2.0</v>
      </c>
      <c r="E51" s="102" t="s">
        <v>193</v>
      </c>
      <c r="F51" s="109">
        <v>1.1E7</v>
      </c>
    </row>
    <row r="52" ht="22.5" customHeight="1">
      <c r="A52" s="102" t="s">
        <v>241</v>
      </c>
      <c r="B52" s="102">
        <v>51.0</v>
      </c>
      <c r="C52" s="102" t="s">
        <v>244</v>
      </c>
      <c r="D52" s="104">
        <v>2.0</v>
      </c>
      <c r="E52" s="102" t="s">
        <v>193</v>
      </c>
      <c r="F52" s="109">
        <v>1.0E7</v>
      </c>
    </row>
    <row r="53" ht="22.5" customHeight="1">
      <c r="A53" s="102" t="s">
        <v>241</v>
      </c>
      <c r="B53" s="102">
        <v>52.0</v>
      </c>
      <c r="C53" s="102" t="s">
        <v>245</v>
      </c>
      <c r="D53" s="104">
        <v>2.0</v>
      </c>
      <c r="E53" s="102" t="s">
        <v>193</v>
      </c>
      <c r="F53" s="109">
        <v>9000000.0</v>
      </c>
    </row>
    <row r="54" ht="22.5" customHeight="1">
      <c r="A54" s="102" t="s">
        <v>241</v>
      </c>
      <c r="B54" s="155">
        <v>53.0</v>
      </c>
      <c r="C54" s="102" t="s">
        <v>246</v>
      </c>
      <c r="D54" s="104">
        <v>2.0</v>
      </c>
      <c r="E54" s="102" t="s">
        <v>174</v>
      </c>
      <c r="F54" s="109">
        <v>1.4E7</v>
      </c>
    </row>
    <row r="55" ht="22.5" customHeight="1">
      <c r="A55" s="102" t="s">
        <v>241</v>
      </c>
      <c r="B55" s="102">
        <v>54.0</v>
      </c>
      <c r="C55" s="102" t="s">
        <v>247</v>
      </c>
      <c r="D55" s="104">
        <v>2.0</v>
      </c>
      <c r="E55" s="102" t="s">
        <v>193</v>
      </c>
      <c r="F55" s="109">
        <v>8000000.0</v>
      </c>
    </row>
    <row r="56" ht="22.5" customHeight="1">
      <c r="A56" s="104" t="s">
        <v>249</v>
      </c>
      <c r="B56" s="102">
        <v>55.0</v>
      </c>
      <c r="C56" s="102" t="s">
        <v>250</v>
      </c>
      <c r="D56" s="104">
        <v>2.0</v>
      </c>
      <c r="E56" s="102" t="s">
        <v>174</v>
      </c>
      <c r="F56" s="109">
        <v>1.4E7</v>
      </c>
    </row>
    <row r="57" ht="22.5" customHeight="1">
      <c r="A57" s="104" t="s">
        <v>249</v>
      </c>
      <c r="B57" s="102">
        <v>56.0</v>
      </c>
      <c r="C57" s="102" t="s">
        <v>251</v>
      </c>
      <c r="D57" s="104">
        <v>2.0</v>
      </c>
      <c r="E57" s="102" t="s">
        <v>186</v>
      </c>
      <c r="F57" s="109">
        <v>8000000.0</v>
      </c>
    </row>
    <row r="58" ht="22.5" customHeight="1">
      <c r="A58" s="104" t="s">
        <v>249</v>
      </c>
      <c r="B58" s="102">
        <v>57.0</v>
      </c>
      <c r="C58" s="102" t="s">
        <v>252</v>
      </c>
      <c r="D58" s="104">
        <v>2.0</v>
      </c>
      <c r="E58" s="102" t="s">
        <v>193</v>
      </c>
      <c r="F58" s="109">
        <v>1.1E7</v>
      </c>
    </row>
    <row r="59" ht="22.5" customHeight="1">
      <c r="A59" s="104" t="s">
        <v>249</v>
      </c>
      <c r="B59" s="102">
        <v>58.0</v>
      </c>
      <c r="C59" s="102" t="s">
        <v>253</v>
      </c>
      <c r="D59" s="104">
        <v>2.0</v>
      </c>
      <c r="E59" s="102" t="s">
        <v>174</v>
      </c>
      <c r="F59" s="109">
        <v>1.5E7</v>
      </c>
    </row>
    <row r="60" ht="22.5" customHeight="1">
      <c r="A60" s="104" t="s">
        <v>249</v>
      </c>
      <c r="B60" s="102">
        <v>59.0</v>
      </c>
      <c r="C60" s="102" t="s">
        <v>254</v>
      </c>
      <c r="D60" s="104">
        <v>2.0</v>
      </c>
      <c r="E60" s="102" t="s">
        <v>183</v>
      </c>
      <c r="F60" s="109">
        <v>2.1E7</v>
      </c>
    </row>
    <row r="61" ht="22.5" customHeight="1">
      <c r="A61" s="104" t="s">
        <v>249</v>
      </c>
      <c r="B61" s="102">
        <v>60.0</v>
      </c>
      <c r="C61" s="102" t="s">
        <v>255</v>
      </c>
      <c r="D61" s="104">
        <v>2.0</v>
      </c>
      <c r="E61" s="102" t="s">
        <v>186</v>
      </c>
      <c r="F61" s="109">
        <v>7500000.0</v>
      </c>
    </row>
    <row r="62" ht="22.5" customHeight="1">
      <c r="A62" s="102" t="s">
        <v>256</v>
      </c>
      <c r="B62" s="102">
        <v>61.0</v>
      </c>
      <c r="C62" s="102" t="s">
        <v>257</v>
      </c>
      <c r="D62" s="104">
        <v>2.0</v>
      </c>
      <c r="E62" s="102" t="s">
        <v>193</v>
      </c>
      <c r="F62" s="109">
        <v>9000000.0</v>
      </c>
    </row>
    <row r="63" ht="22.5" customHeight="1">
      <c r="A63" s="102" t="s">
        <v>256</v>
      </c>
      <c r="B63" s="102">
        <v>62.0</v>
      </c>
      <c r="C63" s="102" t="s">
        <v>258</v>
      </c>
      <c r="D63" s="104">
        <v>2.0</v>
      </c>
      <c r="E63" s="102" t="s">
        <v>193</v>
      </c>
      <c r="F63" s="109">
        <v>1.0E7</v>
      </c>
    </row>
    <row r="64" ht="22.5" customHeight="1">
      <c r="A64" s="102" t="s">
        <v>256</v>
      </c>
      <c r="B64" s="102">
        <v>63.0</v>
      </c>
      <c r="C64" s="102" t="s">
        <v>259</v>
      </c>
      <c r="D64" s="104">
        <v>2.0</v>
      </c>
      <c r="E64" s="102" t="s">
        <v>193</v>
      </c>
      <c r="F64" s="109">
        <v>1.1E7</v>
      </c>
    </row>
    <row r="65" ht="22.5" customHeight="1">
      <c r="A65" s="102" t="s">
        <v>256</v>
      </c>
      <c r="B65" s="102">
        <v>64.0</v>
      </c>
      <c r="C65" s="102" t="s">
        <v>260</v>
      </c>
      <c r="D65" s="104">
        <v>2.0</v>
      </c>
      <c r="E65" s="102" t="s">
        <v>193</v>
      </c>
      <c r="F65" s="109">
        <v>1.1E7</v>
      </c>
    </row>
    <row r="66" ht="22.5" customHeight="1">
      <c r="A66" s="102" t="s">
        <v>256</v>
      </c>
      <c r="B66" s="102">
        <v>65.0</v>
      </c>
      <c r="C66" s="102" t="s">
        <v>261</v>
      </c>
      <c r="D66" s="104">
        <v>2.0</v>
      </c>
      <c r="E66" s="102" t="s">
        <v>186</v>
      </c>
      <c r="F66" s="109">
        <v>5000000.0</v>
      </c>
    </row>
    <row r="67" ht="22.5" customHeight="1">
      <c r="A67" s="102" t="s">
        <v>256</v>
      </c>
      <c r="B67" s="102">
        <v>66.0</v>
      </c>
      <c r="C67" s="102" t="s">
        <v>262</v>
      </c>
      <c r="D67" s="104">
        <v>2.0</v>
      </c>
      <c r="E67" s="102" t="s">
        <v>186</v>
      </c>
      <c r="F67" s="114">
        <v>6500000.0</v>
      </c>
      <c r="H67" s="156" t="str">
        <f>AVERAGEIFS(UpgradeInventory[Cost], UpgradeInventory[Tier], "C", UpgradeInventory[Tier], "D", UpgradeInventory[Tier], "F")</f>
        <v>#DIV/0!</v>
      </c>
    </row>
    <row r="70" ht="22.5" customHeight="1">
      <c r="A70" s="68" t="s">
        <v>120</v>
      </c>
      <c r="B70" s="68" t="s">
        <v>157</v>
      </c>
      <c r="C70" s="157" t="s">
        <v>263</v>
      </c>
      <c r="D70" s="157" t="s">
        <v>163</v>
      </c>
      <c r="E70" s="68" t="s">
        <v>165</v>
      </c>
      <c r="F70" s="68" t="s">
        <v>77</v>
      </c>
      <c r="G70" s="35"/>
      <c r="H70" s="35"/>
    </row>
    <row r="71" ht="22.5" customHeight="1">
      <c r="A71" s="98" t="s">
        <v>264</v>
      </c>
      <c r="B71" s="104" t="s">
        <v>265</v>
      </c>
      <c r="C71" s="104"/>
      <c r="D71" s="104">
        <v>7.0</v>
      </c>
      <c r="E71" s="104"/>
      <c r="F71" s="139">
        <v>1000000.0</v>
      </c>
      <c r="G71" s="35"/>
      <c r="H71" s="35"/>
    </row>
    <row r="72" ht="22.5" customHeight="1">
      <c r="A72" s="98" t="s">
        <v>267</v>
      </c>
      <c r="B72" s="104" t="s">
        <v>265</v>
      </c>
      <c r="C72" s="104"/>
      <c r="D72" s="104">
        <v>7.0</v>
      </c>
      <c r="E72" s="104"/>
      <c r="F72" s="114">
        <v>3000000.0</v>
      </c>
      <c r="G72" s="35"/>
      <c r="H72" s="35"/>
    </row>
    <row r="73" ht="22.5" customHeight="1">
      <c r="A73" s="98" t="s">
        <v>248</v>
      </c>
      <c r="B73" s="104" t="s">
        <v>265</v>
      </c>
      <c r="C73" s="104"/>
      <c r="D73" s="104">
        <v>7.0</v>
      </c>
      <c r="E73" s="158"/>
      <c r="F73" s="114">
        <v>3000000.0</v>
      </c>
      <c r="G73" s="35"/>
      <c r="H73" s="35"/>
    </row>
    <row r="74" ht="22.5" customHeight="1">
      <c r="A74" s="98" t="s">
        <v>239</v>
      </c>
      <c r="B74" s="104" t="s">
        <v>265</v>
      </c>
      <c r="C74" s="104"/>
      <c r="D74" s="104">
        <v>7.0</v>
      </c>
      <c r="E74" s="158"/>
      <c r="F74" s="139">
        <v>2000000.0</v>
      </c>
      <c r="G74" s="35"/>
      <c r="H74" s="35"/>
    </row>
    <row r="75" ht="22.5" customHeight="1">
      <c r="A75" s="98" t="s">
        <v>266</v>
      </c>
      <c r="B75" s="104" t="s">
        <v>265</v>
      </c>
      <c r="C75" s="104"/>
      <c r="D75" s="104">
        <v>7.0</v>
      </c>
      <c r="E75" s="158"/>
      <c r="F75" s="114">
        <v>4000000.0</v>
      </c>
      <c r="G75" s="35"/>
      <c r="H75" s="35"/>
    </row>
    <row r="76" ht="22.5" customHeight="1">
      <c r="A76" s="98" t="s">
        <v>214</v>
      </c>
      <c r="B76" s="104" t="s">
        <v>265</v>
      </c>
      <c r="C76" s="104"/>
      <c r="D76" s="104">
        <v>7.0</v>
      </c>
      <c r="E76" s="158"/>
      <c r="F76" s="114">
        <v>2000000.0</v>
      </c>
      <c r="G76" s="35"/>
      <c r="H76" s="35"/>
    </row>
    <row r="77" ht="22.5" customHeight="1">
      <c r="A77" s="98" t="s">
        <v>268</v>
      </c>
      <c r="B77" s="104" t="s">
        <v>265</v>
      </c>
      <c r="C77" s="104"/>
      <c r="D77" s="104">
        <v>7.0</v>
      </c>
      <c r="E77" s="158"/>
      <c r="F77" s="114">
        <v>3000000.0</v>
      </c>
    </row>
    <row r="78" ht="22.5" customHeight="1">
      <c r="A78" s="98" t="s">
        <v>269</v>
      </c>
      <c r="B78" s="104" t="s">
        <v>265</v>
      </c>
      <c r="C78" s="104"/>
      <c r="D78" s="104">
        <v>7.0</v>
      </c>
      <c r="E78" s="158"/>
      <c r="F78" s="114">
        <v>5000000.0</v>
      </c>
    </row>
    <row r="79" ht="22.5" customHeight="1">
      <c r="A79" s="98" t="s">
        <v>270</v>
      </c>
      <c r="B79" s="104" t="s">
        <v>271</v>
      </c>
      <c r="C79" s="104"/>
      <c r="D79" s="104">
        <v>7.0</v>
      </c>
      <c r="E79" s="158"/>
      <c r="F79" s="114">
        <v>3000000.0</v>
      </c>
    </row>
    <row r="80" ht="22.5" customHeight="1">
      <c r="A80" s="98" t="s">
        <v>218</v>
      </c>
      <c r="B80" s="104" t="s">
        <v>271</v>
      </c>
      <c r="C80" s="104"/>
      <c r="D80" s="104">
        <v>7.0</v>
      </c>
      <c r="E80" s="158"/>
      <c r="F80" s="114">
        <v>2000000.0</v>
      </c>
    </row>
    <row r="81" ht="22.5" customHeight="1">
      <c r="A81" s="98" t="s">
        <v>202</v>
      </c>
      <c r="B81" s="104" t="s">
        <v>271</v>
      </c>
      <c r="C81" s="104"/>
      <c r="D81" s="104">
        <v>7.0</v>
      </c>
      <c r="E81" s="158"/>
      <c r="F81" s="114">
        <v>2000000.0</v>
      </c>
    </row>
  </sheetData>
  <dataValidations>
    <dataValidation type="custom" allowBlank="1" showDropDown="1" sqref="F2:F67 F71:F81">
      <formula1>AND(ISNUMBER(F2),(NOT(OR(NOT(ISERROR(DATEVALUE(F2))), AND(ISNUMBER(F2), LEFT(CELL("format", F2))="D")))))</formula1>
    </dataValidation>
  </dataValidations>
  <printOptions/>
  <pageMargins bottom="1.0" footer="0.0" header="0.0" left="0.75" right="0.75" top="1.0"/>
  <pageSetup paperSize="9" orientation="portrait"/>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14"/>
    <col customWidth="1" min="2" max="2" width="22.0"/>
    <col customWidth="1" min="3" max="3" width="17.14"/>
    <col customWidth="1" min="4" max="11" width="18.71"/>
    <col customWidth="1" min="12" max="12" width="29.0"/>
    <col customWidth="1" min="13" max="29" width="8.71"/>
  </cols>
  <sheetData>
    <row r="1" ht="31.5" customHeight="1">
      <c r="A1" s="3" t="s">
        <v>169</v>
      </c>
      <c r="B1" s="5"/>
      <c r="C1" s="5"/>
      <c r="D1" s="5"/>
      <c r="E1" s="5"/>
      <c r="F1" s="5"/>
      <c r="G1" s="5"/>
      <c r="H1" s="5"/>
      <c r="I1" s="5"/>
      <c r="J1" s="6"/>
      <c r="K1" s="101"/>
      <c r="L1" s="101"/>
    </row>
    <row r="2" ht="15.75" customHeight="1">
      <c r="A2" s="107" t="s">
        <v>176</v>
      </c>
      <c r="K2" s="107"/>
      <c r="L2" s="107"/>
    </row>
    <row r="3" ht="19.5" customHeight="1">
      <c r="A3" s="112"/>
      <c r="B3" s="112"/>
      <c r="C3" s="112"/>
      <c r="D3" s="112"/>
      <c r="E3" s="112"/>
      <c r="F3" s="112"/>
      <c r="G3" s="112"/>
      <c r="H3" s="112"/>
      <c r="I3" s="112"/>
      <c r="J3" s="112"/>
      <c r="K3" s="112"/>
      <c r="L3" s="112"/>
    </row>
    <row r="4" ht="19.5" customHeight="1">
      <c r="A4" s="113" t="s">
        <v>15</v>
      </c>
      <c r="B4" s="113" t="s">
        <v>120</v>
      </c>
      <c r="C4" s="113" t="s">
        <v>187</v>
      </c>
      <c r="D4" s="113" t="s">
        <v>188</v>
      </c>
      <c r="E4" s="113" t="s">
        <v>189</v>
      </c>
      <c r="F4" s="113" t="s">
        <v>191</v>
      </c>
      <c r="G4" s="113" t="s">
        <v>192</v>
      </c>
      <c r="H4" s="113" t="s">
        <v>194</v>
      </c>
      <c r="I4" s="113" t="s">
        <v>195</v>
      </c>
      <c r="J4" s="113" t="s">
        <v>196</v>
      </c>
      <c r="K4" s="115" t="s">
        <v>197</v>
      </c>
      <c r="L4" s="113" t="s">
        <v>198</v>
      </c>
    </row>
    <row r="5" ht="19.5" customHeight="1">
      <c r="A5" s="116" t="str">
        <f t="array" ref="A5">INDEX(DriverLineup[Driver], ROW()-ROW($A$5)+1)</f>
        <v>Anders Snabb</v>
      </c>
      <c r="B5" s="117" t="s">
        <v>202</v>
      </c>
      <c r="C5" s="120">
        <f t="array" ref="C5"> SUM('1961 Season Overview'!$B$10, XLOOKUP(B5, SponsorInventory[Sponsor], SponsorInventory[Funding], 0))+K5</f>
        <v>17000000</v>
      </c>
      <c r="D5" s="121">
        <v>60.0</v>
      </c>
      <c r="E5" s="122">
        <v>42.0</v>
      </c>
      <c r="F5" s="123">
        <v>36.0</v>
      </c>
      <c r="G5" s="124"/>
      <c r="H5" s="125"/>
      <c r="I5" s="126"/>
      <c r="J5" s="127"/>
      <c r="K5" s="128">
        <v>0.0</v>
      </c>
      <c r="L5" s="132">
        <f t="array" ref="L5">C5-XLOOKUP(D5, UpgradeInventory[Part Number], UpgradeInventory[Cost], 0)-XLOOKUP(E5, UpgradeInventory[Part Number], UpgradeInventory[Cost], 0)-XLOOKUP(F5, UpgradeInventory[Part Number], UpgradeInventory[Cost], 0)-XLOOKUP(G5, UpgradeInventory[Part Number], UpgradeInventory[Cost], 0)-XLOOKUP(H5, UpgradeInventory[Part Number], UpgradeInventory[Cost], 0)-XLOOKUP(I5, UpgradeInventory[Part Number], UpgradeInventory[Cost], 0)-XLOOKUP(J5, UpgradeInventory[Part Number], UpgradeInventory[Cost], 0)</f>
        <v>2500000</v>
      </c>
    </row>
    <row r="6" ht="19.5" customHeight="1">
      <c r="A6" s="116" t="str">
        <f t="array" ref="A6">INDEX(DriverLineup[Driver], ROW()-ROW($A$5)+1)</f>
        <v>Count Dragula</v>
      </c>
      <c r="B6" s="117" t="s">
        <v>214</v>
      </c>
      <c r="C6" s="120">
        <f t="array" ref="C6"> SUM('1961 Season Overview'!$B$10, XLOOKUP(B6, SponsorInventory[Sponsor], SponsorInventory[Funding], 0))+K6</f>
        <v>16000000</v>
      </c>
      <c r="D6" s="121">
        <v>13.0</v>
      </c>
      <c r="E6" s="122">
        <v>37.0</v>
      </c>
      <c r="F6" s="123">
        <v>49.0</v>
      </c>
      <c r="G6" s="124"/>
      <c r="H6" s="125"/>
      <c r="I6" s="126"/>
      <c r="J6" s="127"/>
      <c r="K6" s="128">
        <v>-1000000.0</v>
      </c>
      <c r="L6" s="132">
        <f t="array" ref="L6">C6-XLOOKUP(D6, UpgradeInventory[Part Number], UpgradeInventory[Cost], 0)-XLOOKUP(E6, UpgradeInventory[Part Number], UpgradeInventory[Cost], 0)-XLOOKUP(F6, UpgradeInventory[Part Number], UpgradeInventory[Cost], 0)-XLOOKUP(G6, UpgradeInventory[Part Number], UpgradeInventory[Cost], 0)-XLOOKUP(H6, UpgradeInventory[Part Number], UpgradeInventory[Cost], 0)-XLOOKUP(I6, UpgradeInventory[Part Number], UpgradeInventory[Cost], 0)-XLOOKUP(J6, UpgradeInventory[Part Number], UpgradeInventory[Cost], 0)</f>
        <v>500000</v>
      </c>
    </row>
    <row r="7" ht="19.5" customHeight="1">
      <c r="A7" s="116" t="str">
        <f t="array" ref="A7">INDEX(DriverLineup[Driver], ROW()-ROW($A$5)+1)</f>
        <v>Horace Bauer</v>
      </c>
      <c r="B7" s="117" t="s">
        <v>218</v>
      </c>
      <c r="C7" s="120">
        <f t="array" ref="C7"> SUM('1961 Season Overview'!$B$10, XLOOKUP(B7, SponsorInventory[Sponsor], SponsorInventory[Funding], 0))+K7</f>
        <v>17000000</v>
      </c>
      <c r="D7" s="121">
        <v>38.0</v>
      </c>
      <c r="E7" s="122">
        <v>3.0</v>
      </c>
      <c r="F7" s="123">
        <v>46.0</v>
      </c>
      <c r="G7" s="124"/>
      <c r="H7" s="125"/>
      <c r="I7" s="126"/>
      <c r="J7" s="127"/>
      <c r="K7" s="140"/>
      <c r="L7" s="132">
        <f t="array" ref="L7">C7-XLOOKUP(D7, UpgradeInventory[Part Number], UpgradeInventory[Cost], 0)-XLOOKUP(E7, UpgradeInventory[Part Number], UpgradeInventory[Cost], 0)-XLOOKUP(F7, UpgradeInventory[Part Number], UpgradeInventory[Cost], 0)-XLOOKUP(G7, UpgradeInventory[Part Number], UpgradeInventory[Cost], 0)-XLOOKUP(H7, UpgradeInventory[Part Number], UpgradeInventory[Cost], 0)-XLOOKUP(I7, UpgradeInventory[Part Number], UpgradeInventory[Cost], 0)-XLOOKUP(J7, UpgradeInventory[Part Number], UpgradeInventory[Cost], 0)</f>
        <v>0</v>
      </c>
    </row>
    <row r="8" ht="19.5" customHeight="1">
      <c r="A8" s="116" t="str">
        <f t="array" ref="A8">INDEX(DriverLineup[Driver], ROW()-ROW($A$5)+1)</f>
        <v>Jean Girard</v>
      </c>
      <c r="B8" s="117" t="s">
        <v>239</v>
      </c>
      <c r="C8" s="120">
        <f t="array" ref="C8"> SUM('1961 Season Overview'!$B$10, XLOOKUP(B8, SponsorInventory[Sponsor], SponsorInventory[Funding], 0))+K8</f>
        <v>17000000</v>
      </c>
      <c r="D8" s="121">
        <v>27.0</v>
      </c>
      <c r="E8" s="122">
        <v>38.0</v>
      </c>
      <c r="F8" s="123">
        <v>42.0</v>
      </c>
      <c r="G8" s="124"/>
      <c r="H8" s="125"/>
      <c r="I8" s="126"/>
      <c r="J8" s="127"/>
      <c r="K8" s="140"/>
      <c r="L8" s="132">
        <f t="array" ref="L8">C8-XLOOKUP(D8, UpgradeInventory[Part Number], UpgradeInventory[Cost], 0)-XLOOKUP(E8, UpgradeInventory[Part Number], UpgradeInventory[Cost], 0)-XLOOKUP(F8, UpgradeInventory[Part Number], UpgradeInventory[Cost], 0)-XLOOKUP(G8, UpgradeInventory[Part Number], UpgradeInventory[Cost], 0)-XLOOKUP(H8, UpgradeInventory[Part Number], UpgradeInventory[Cost], 0)-XLOOKUP(I8, UpgradeInventory[Part Number], UpgradeInventory[Cost], 0)-XLOOKUP(J8, UpgradeInventory[Part Number], UpgradeInventory[Cost], 0)</f>
        <v>0</v>
      </c>
    </row>
    <row r="9" ht="19.5" customHeight="1">
      <c r="A9" s="116" t="str">
        <f t="array" ref="A9">INDEX(DriverLineup[Driver], ROW()-ROW($A$5)+1)</f>
        <v>"Caveman" Dale Mercer</v>
      </c>
      <c r="B9" s="117" t="s">
        <v>248</v>
      </c>
      <c r="C9" s="120">
        <f t="array" ref="C9"> SUM('1961 Season Overview'!$B$10, XLOOKUP(B9, SponsorInventory[Sponsor], SponsorInventory[Funding], 0))+K9</f>
        <v>18000000</v>
      </c>
      <c r="D9" s="121">
        <v>40.0</v>
      </c>
      <c r="E9" s="122">
        <v>46.0</v>
      </c>
      <c r="F9" s="123">
        <v>6.0</v>
      </c>
      <c r="G9" s="124"/>
      <c r="H9" s="125"/>
      <c r="I9" s="126"/>
      <c r="J9" s="127"/>
      <c r="K9" s="140"/>
      <c r="L9" s="132">
        <f t="array" ref="L9">C9-XLOOKUP(D9, UpgradeInventory[Part Number], UpgradeInventory[Cost], 0)-XLOOKUP(E9, UpgradeInventory[Part Number], UpgradeInventory[Cost], 0)-XLOOKUP(F9, UpgradeInventory[Part Number], UpgradeInventory[Cost], 0)-XLOOKUP(G9, UpgradeInventory[Part Number], UpgradeInventory[Cost], 0)-XLOOKUP(H9, UpgradeInventory[Part Number], UpgradeInventory[Cost], 0)-XLOOKUP(I9, UpgradeInventory[Part Number], UpgradeInventory[Cost], 0)-XLOOKUP(J9, UpgradeInventory[Part Number], UpgradeInventory[Cost], 0)</f>
        <v>1500000</v>
      </c>
    </row>
    <row r="10" ht="19.5" customHeight="1">
      <c r="A10" s="116" t="str">
        <f t="array" ref="A10">INDEX(DriverLineup[Driver], ROW()-ROW($A$5)+1)</f>
        <v>Circe Belladonna</v>
      </c>
      <c r="B10" s="117" t="s">
        <v>266</v>
      </c>
      <c r="C10" s="120">
        <f t="array" ref="C10"> SUM('1961 Season Overview'!$B$10, XLOOKUP(B10, SponsorInventory[Sponsor], SponsorInventory[Funding], 0))+K10</f>
        <v>23000000</v>
      </c>
      <c r="D10" s="121">
        <v>27.0</v>
      </c>
      <c r="E10" s="122">
        <v>60.0</v>
      </c>
      <c r="F10" s="123">
        <v>36.0</v>
      </c>
      <c r="G10" s="124"/>
      <c r="H10" s="125"/>
      <c r="I10" s="126"/>
      <c r="J10" s="127"/>
      <c r="K10" s="128">
        <v>4000000.0</v>
      </c>
      <c r="L10" s="132">
        <f t="array" ref="L10">C10-XLOOKUP(D10, UpgradeInventory[Part Number], UpgradeInventory[Cost], 0)-XLOOKUP(E10, UpgradeInventory[Part Number], UpgradeInventory[Cost], 0)-XLOOKUP(F10, UpgradeInventory[Part Number], UpgradeInventory[Cost], 0)-XLOOKUP(G10, UpgradeInventory[Part Number], UpgradeInventory[Cost], 0)-XLOOKUP(H10, UpgradeInventory[Part Number], UpgradeInventory[Cost], 0)-XLOOKUP(I10, UpgradeInventory[Part Number], UpgradeInventory[Cost], 0)-XLOOKUP(J10, UpgradeInventory[Part Number], UpgradeInventory[Cost], 0)</f>
        <v>6500000</v>
      </c>
    </row>
    <row r="11" ht="19.5" customHeight="1">
      <c r="A11" s="116" t="str">
        <f t="array" ref="A11">INDEX(DriverLineup[Driver], ROW()-ROW($A$5)+1)</f>
        <v>Mr. Pink</v>
      </c>
      <c r="B11" s="117" t="s">
        <v>264</v>
      </c>
      <c r="C11" s="120">
        <f t="array" ref="C11"> SUM('1961 Season Overview'!$B$10, XLOOKUP(B11, SponsorInventory[Sponsor], SponsorInventory[Funding], 0))+K11</f>
        <v>19000000</v>
      </c>
      <c r="D11" s="121">
        <v>66.0</v>
      </c>
      <c r="E11" s="122">
        <v>18.0</v>
      </c>
      <c r="F11" s="123">
        <v>25.0</v>
      </c>
      <c r="G11" s="124"/>
      <c r="H11" s="125"/>
      <c r="I11" s="126"/>
      <c r="J11" s="127"/>
      <c r="K11" s="128">
        <v>3000000.0</v>
      </c>
      <c r="L11" s="132">
        <f t="array" ref="L11">C11-XLOOKUP(D11, UpgradeInventory[Part Number], UpgradeInventory[Cost], 0)-XLOOKUP(E11, UpgradeInventory[Part Number], UpgradeInventory[Cost], 0)-XLOOKUP(F11, UpgradeInventory[Part Number], UpgradeInventory[Cost], 0)-XLOOKUP(G11, UpgradeInventory[Part Number], UpgradeInventory[Cost], 0)-XLOOKUP(H11, UpgradeInventory[Part Number], UpgradeInventory[Cost], 0)-XLOOKUP(I11, UpgradeInventory[Part Number], UpgradeInventory[Cost], 0)-XLOOKUP(J11, UpgradeInventory[Part Number], UpgradeInventory[Cost], 0)</f>
        <v>0</v>
      </c>
    </row>
    <row r="12" ht="19.5" customHeight="1">
      <c r="A12" s="116" t="str">
        <f t="array" ref="A12">INDEX(DriverLineup[Driver], ROW()-ROW($A$5)+1)</f>
        <v>Chico Suave</v>
      </c>
      <c r="B12" s="117" t="s">
        <v>267</v>
      </c>
      <c r="C12" s="120">
        <f t="array" ref="C12"> SUM('1961 Season Overview'!$B$10, XLOOKUP(B12, SponsorInventory[Sponsor], SponsorInventory[Funding], 0))+K12</f>
        <v>21000000</v>
      </c>
      <c r="D12" s="121">
        <v>6.0</v>
      </c>
      <c r="E12" s="122">
        <v>7.0</v>
      </c>
      <c r="F12" s="123">
        <v>39.0</v>
      </c>
      <c r="G12" s="124"/>
      <c r="H12" s="125"/>
      <c r="I12" s="126"/>
      <c r="J12" s="127"/>
      <c r="K12" s="128">
        <v>3000000.0</v>
      </c>
      <c r="L12" s="132">
        <f t="array" ref="L12">C12-XLOOKUP(D12, UpgradeInventory[Part Number], UpgradeInventory[Cost], 0)-XLOOKUP(E12, UpgradeInventory[Part Number], UpgradeInventory[Cost], 0)-XLOOKUP(F12, UpgradeInventory[Part Number], UpgradeInventory[Cost], 0)-XLOOKUP(G12, UpgradeInventory[Part Number], UpgradeInventory[Cost], 0)-XLOOKUP(H12, UpgradeInventory[Part Number], UpgradeInventory[Cost], 0)-XLOOKUP(I12, UpgradeInventory[Part Number], UpgradeInventory[Cost], 0)-XLOOKUP(J12, UpgradeInventory[Part Number], UpgradeInventory[Cost], 0)</f>
        <v>14000000</v>
      </c>
    </row>
    <row r="14" ht="21.75" customHeight="1">
      <c r="A14" s="32" t="s">
        <v>272</v>
      </c>
      <c r="B14" s="33"/>
      <c r="C14" s="33"/>
      <c r="D14" s="33"/>
      <c r="E14" s="33"/>
      <c r="F14" s="33"/>
      <c r="G14" s="33"/>
      <c r="H14" s="33"/>
      <c r="I14" s="130"/>
    </row>
    <row r="15" ht="18.0" customHeight="1">
      <c r="A15" s="159" t="s">
        <v>220</v>
      </c>
      <c r="B15" s="160" t="s">
        <v>273</v>
      </c>
      <c r="C15" s="33"/>
      <c r="D15" s="33"/>
      <c r="E15" s="33"/>
      <c r="F15" s="33"/>
      <c r="G15" s="33"/>
      <c r="H15" s="33"/>
      <c r="I15" s="33"/>
      <c r="J15" s="161"/>
      <c r="K15" s="162"/>
      <c r="L15" s="162"/>
    </row>
    <row r="16" ht="18.0" customHeight="1">
      <c r="A16" s="163" t="s">
        <v>217</v>
      </c>
      <c r="B16" s="164" t="s">
        <v>274</v>
      </c>
      <c r="C16" s="33"/>
      <c r="D16" s="33"/>
      <c r="E16" s="33"/>
      <c r="F16" s="33"/>
      <c r="G16" s="33"/>
      <c r="H16" s="33"/>
      <c r="I16" s="33"/>
      <c r="J16" s="161"/>
      <c r="K16" s="165"/>
      <c r="L16" s="165"/>
    </row>
    <row r="17" ht="18.0" customHeight="1">
      <c r="A17" s="166" t="s">
        <v>275</v>
      </c>
      <c r="B17" s="167" t="s">
        <v>276</v>
      </c>
      <c r="C17" s="33"/>
      <c r="D17" s="33"/>
      <c r="E17" s="33"/>
      <c r="F17" s="33"/>
      <c r="G17" s="33"/>
      <c r="H17" s="33"/>
      <c r="I17" s="33"/>
      <c r="J17" s="161"/>
      <c r="K17" s="168"/>
      <c r="L17" s="168"/>
    </row>
    <row r="18" ht="18.0" customHeight="1">
      <c r="A18" s="169" t="s">
        <v>277</v>
      </c>
      <c r="B18" s="170" t="s">
        <v>278</v>
      </c>
      <c r="C18" s="33"/>
      <c r="D18" s="33"/>
      <c r="E18" s="33"/>
      <c r="F18" s="33"/>
      <c r="G18" s="33"/>
      <c r="H18" s="33"/>
      <c r="I18" s="33"/>
      <c r="J18" s="161"/>
      <c r="K18" s="171"/>
      <c r="L18" s="171"/>
    </row>
    <row r="19" ht="18.0" customHeight="1">
      <c r="A19" s="172" t="s">
        <v>279</v>
      </c>
      <c r="B19" s="173" t="s">
        <v>280</v>
      </c>
      <c r="C19" s="33"/>
      <c r="D19" s="33"/>
      <c r="E19" s="33"/>
      <c r="F19" s="33"/>
      <c r="G19" s="33"/>
      <c r="H19" s="33"/>
      <c r="I19" s="33"/>
      <c r="J19" s="161"/>
      <c r="K19" s="174"/>
      <c r="L19" s="174"/>
    </row>
    <row r="20" ht="18.0" customHeight="1">
      <c r="A20" s="7" t="s">
        <v>281</v>
      </c>
      <c r="B20" s="175" t="s">
        <v>282</v>
      </c>
      <c r="C20" s="33"/>
      <c r="D20" s="33"/>
      <c r="E20" s="33"/>
      <c r="F20" s="33"/>
      <c r="G20" s="33"/>
      <c r="H20" s="33"/>
      <c r="I20" s="33"/>
      <c r="J20" s="161"/>
      <c r="K20" s="176"/>
      <c r="L20" s="176"/>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9">
    <mergeCell ref="B19:J19"/>
    <mergeCell ref="B20:J20"/>
    <mergeCell ref="A1:J1"/>
    <mergeCell ref="A2:J2"/>
    <mergeCell ref="A14:I14"/>
    <mergeCell ref="B15:J15"/>
    <mergeCell ref="B16:J16"/>
    <mergeCell ref="B17:J17"/>
    <mergeCell ref="B18:J18"/>
  </mergeCells>
  <dataValidations>
    <dataValidation type="custom" allowBlank="1" showDropDown="1" sqref="C5:C12 K5:K12">
      <formula1>AND(ISNUMBER(C5),(NOT(OR(NOT(ISERROR(DATEVALUE(C5))), AND(ISNUMBER(C5), LEFT(CELL("format", C5))="D")))))</formula1>
    </dataValidation>
  </dataValidations>
  <printOptions/>
  <pageMargins bottom="1.0" footer="0.0" header="0.0" left="0.75" right="0.75" top="1.0"/>
  <pageSetup paperSize="9" orientation="portrait"/>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5" width="12.0"/>
    <col customWidth="1" min="6" max="7" width="14.0"/>
    <col customWidth="1" min="8" max="8" width="16.0"/>
    <col customWidth="1" min="9" max="9" width="18.0"/>
    <col customWidth="1" min="10" max="26" width="8.71"/>
  </cols>
  <sheetData>
    <row r="1" ht="31.5" customHeight="1">
      <c r="A1" s="3" t="s">
        <v>203</v>
      </c>
      <c r="B1" s="5"/>
      <c r="C1" s="5"/>
      <c r="D1" s="5"/>
      <c r="E1" s="5"/>
      <c r="F1" s="5"/>
      <c r="G1" s="5"/>
      <c r="H1" s="5"/>
      <c r="I1" s="6"/>
    </row>
    <row r="3" ht="19.5" customHeight="1">
      <c r="A3" s="36"/>
      <c r="B3" s="36"/>
      <c r="C3" s="36"/>
      <c r="D3" s="36"/>
      <c r="E3" s="36"/>
      <c r="F3" s="36"/>
      <c r="G3" s="36"/>
      <c r="H3" s="36"/>
      <c r="I3" s="36"/>
    </row>
    <row r="4" ht="18.0" customHeight="1">
      <c r="A4" s="19"/>
      <c r="B4" s="39"/>
      <c r="C4" s="39"/>
      <c r="D4" s="39"/>
      <c r="E4" s="39"/>
      <c r="F4" s="39"/>
      <c r="G4" s="39"/>
      <c r="H4" s="39"/>
      <c r="I4" s="39"/>
    </row>
    <row r="5" ht="18.0" customHeight="1">
      <c r="A5" s="118"/>
      <c r="B5" s="119"/>
      <c r="C5" s="119"/>
      <c r="D5" s="119"/>
      <c r="E5" s="119"/>
      <c r="F5" s="119"/>
      <c r="G5" s="119"/>
      <c r="H5" s="119"/>
      <c r="I5" s="119"/>
    </row>
    <row r="6" ht="18.0" customHeight="1">
      <c r="A6" s="19"/>
      <c r="B6" s="39"/>
      <c r="C6" s="39"/>
      <c r="D6" s="39"/>
      <c r="E6" s="39"/>
      <c r="F6" s="39"/>
      <c r="G6" s="39"/>
      <c r="H6" s="39"/>
      <c r="I6" s="39"/>
    </row>
    <row r="7" ht="18.0" customHeight="1">
      <c r="A7" s="118"/>
      <c r="B7" s="119"/>
      <c r="C7" s="119"/>
      <c r="D7" s="119"/>
      <c r="E7" s="119"/>
      <c r="F7" s="119"/>
      <c r="G7" s="119"/>
      <c r="H7" s="119"/>
      <c r="I7" s="119"/>
    </row>
    <row r="8" ht="18.0" customHeight="1">
      <c r="A8" s="19"/>
      <c r="B8" s="39"/>
      <c r="C8" s="39"/>
      <c r="D8" s="39"/>
      <c r="E8" s="39"/>
      <c r="F8" s="39"/>
      <c r="G8" s="39"/>
      <c r="H8" s="39"/>
      <c r="I8" s="39"/>
    </row>
    <row r="9" ht="18.0" customHeight="1">
      <c r="A9" s="118"/>
      <c r="B9" s="119"/>
      <c r="C9" s="119"/>
      <c r="D9" s="119"/>
      <c r="E9" s="119"/>
      <c r="F9" s="119"/>
      <c r="G9" s="119"/>
      <c r="H9" s="119"/>
      <c r="I9" s="119"/>
    </row>
    <row r="10" ht="18.0" customHeight="1">
      <c r="A10" s="19"/>
      <c r="B10" s="39"/>
      <c r="C10" s="39"/>
      <c r="D10" s="39"/>
      <c r="E10" s="39"/>
      <c r="F10" s="39"/>
      <c r="G10" s="39"/>
      <c r="H10" s="39"/>
      <c r="I10" s="39"/>
    </row>
    <row r="11" ht="18.0" customHeight="1">
      <c r="A11" s="118"/>
      <c r="B11" s="119"/>
      <c r="C11" s="119"/>
      <c r="D11" s="119"/>
      <c r="E11" s="119"/>
      <c r="F11" s="119"/>
      <c r="G11" s="119"/>
      <c r="H11" s="119"/>
      <c r="I11" s="119"/>
    </row>
    <row r="12" ht="18.0" customHeight="1">
      <c r="A12" s="19"/>
      <c r="B12" s="39"/>
      <c r="C12" s="39"/>
      <c r="D12" s="39"/>
      <c r="E12" s="39"/>
      <c r="F12" s="39"/>
      <c r="G12" s="39"/>
      <c r="H12" s="39"/>
      <c r="I12" s="39"/>
    </row>
    <row r="13" ht="18.0" customHeight="1">
      <c r="A13" s="118"/>
      <c r="B13" s="119"/>
      <c r="C13" s="119"/>
      <c r="D13" s="119"/>
      <c r="E13" s="119"/>
      <c r="F13" s="119"/>
      <c r="G13" s="119"/>
      <c r="H13" s="119"/>
      <c r="I13" s="119"/>
    </row>
    <row r="15" ht="21.75" customHeight="1">
      <c r="A15" s="32" t="s">
        <v>208</v>
      </c>
      <c r="B15" s="33"/>
      <c r="C15" s="33"/>
      <c r="D15" s="33"/>
      <c r="E15" s="33"/>
      <c r="F15" s="33"/>
      <c r="G15" s="33"/>
      <c r="H15" s="130"/>
    </row>
    <row r="16" ht="19.5" customHeight="1">
      <c r="A16" s="36"/>
      <c r="B16" s="36"/>
      <c r="C16" s="36"/>
      <c r="D16" s="36"/>
      <c r="E16" s="36"/>
      <c r="F16" s="36"/>
      <c r="G16" s="36"/>
      <c r="H16" s="36"/>
    </row>
    <row r="17" ht="18.0" customHeight="1">
      <c r="A17" s="119">
        <v>1.0</v>
      </c>
      <c r="B17" s="131"/>
      <c r="C17" s="119"/>
      <c r="D17" s="131"/>
      <c r="E17" s="119"/>
      <c r="F17" s="119"/>
      <c r="G17" s="118"/>
      <c r="H17" s="118"/>
    </row>
    <row r="18" ht="18.0" customHeight="1">
      <c r="A18" s="39">
        <v>2.0</v>
      </c>
      <c r="B18" s="131"/>
      <c r="C18" s="39"/>
      <c r="D18" s="131"/>
      <c r="E18" s="39"/>
      <c r="F18" s="39"/>
      <c r="G18" s="19"/>
      <c r="H18" s="19"/>
    </row>
    <row r="19" ht="18.0" customHeight="1">
      <c r="A19" s="119">
        <v>3.0</v>
      </c>
      <c r="B19" s="131"/>
      <c r="C19" s="119"/>
      <c r="D19" s="131"/>
      <c r="E19" s="119"/>
      <c r="F19" s="119"/>
      <c r="G19" s="118"/>
      <c r="H19" s="118"/>
    </row>
    <row r="20" ht="18.0" customHeight="1">
      <c r="A20" s="39">
        <v>4.0</v>
      </c>
      <c r="B20" s="131"/>
      <c r="C20" s="39"/>
      <c r="D20" s="131"/>
      <c r="E20" s="39"/>
      <c r="F20" s="39"/>
      <c r="G20" s="19"/>
      <c r="H20" s="19"/>
    </row>
    <row r="21" ht="18.0" customHeight="1">
      <c r="A21" s="119">
        <v>5.0</v>
      </c>
      <c r="B21" s="131"/>
      <c r="C21" s="119"/>
      <c r="D21" s="131"/>
      <c r="E21" s="119"/>
      <c r="F21" s="119"/>
      <c r="G21" s="118"/>
      <c r="H21" s="118"/>
    </row>
    <row r="22" ht="18.0" customHeight="1">
      <c r="A22" s="39">
        <v>6.0</v>
      </c>
      <c r="B22" s="131"/>
      <c r="C22" s="39"/>
      <c r="D22" s="131"/>
      <c r="E22" s="39"/>
      <c r="F22" s="39"/>
      <c r="G22" s="19"/>
      <c r="H22" s="19"/>
    </row>
    <row r="23" ht="18.0" customHeight="1">
      <c r="A23" s="119">
        <v>7.0</v>
      </c>
      <c r="B23" s="131"/>
      <c r="C23" s="119"/>
      <c r="D23" s="131"/>
      <c r="E23" s="119"/>
      <c r="F23" s="119"/>
      <c r="G23" s="118"/>
      <c r="H23" s="118"/>
    </row>
    <row r="24" ht="18.0" customHeight="1">
      <c r="A24" s="39">
        <v>8.0</v>
      </c>
      <c r="B24" s="131"/>
      <c r="C24" s="39"/>
      <c r="D24" s="131"/>
      <c r="E24" s="39"/>
      <c r="F24" s="39"/>
      <c r="G24" s="19"/>
      <c r="H24" s="19"/>
    </row>
    <row r="25" ht="18.0" customHeight="1">
      <c r="A25" s="119">
        <v>9.0</v>
      </c>
      <c r="B25" s="131"/>
      <c r="C25" s="119"/>
      <c r="D25" s="131"/>
      <c r="E25" s="119"/>
      <c r="F25" s="119"/>
      <c r="G25" s="118"/>
      <c r="H25" s="118"/>
    </row>
    <row r="26" ht="18.0" customHeight="1">
      <c r="A26" s="39">
        <v>10.0</v>
      </c>
      <c r="B26" s="131"/>
      <c r="C26" s="39"/>
      <c r="D26" s="131"/>
      <c r="E26" s="39"/>
      <c r="F26" s="39"/>
      <c r="G26" s="19"/>
      <c r="H26" s="19"/>
    </row>
    <row r="27" ht="15.75" customHeight="1"/>
    <row r="28" ht="21.75" customHeight="1">
      <c r="A28" s="32" t="s">
        <v>213</v>
      </c>
      <c r="B28" s="33"/>
      <c r="C28" s="33"/>
      <c r="D28" s="33"/>
      <c r="E28" s="33"/>
      <c r="F28" s="33"/>
      <c r="G28" s="33"/>
      <c r="H28" s="130"/>
    </row>
    <row r="29" ht="19.5" customHeight="1">
      <c r="A29" s="36"/>
      <c r="B29" s="36"/>
      <c r="C29" s="36"/>
      <c r="D29" s="36"/>
      <c r="E29" s="36"/>
      <c r="F29" s="36"/>
      <c r="G29" s="36"/>
      <c r="H29" s="36"/>
    </row>
    <row r="30" ht="18.0" customHeight="1">
      <c r="A30" s="39"/>
      <c r="B30" s="39"/>
      <c r="C30" s="19"/>
      <c r="D30" s="19"/>
      <c r="E30" s="19"/>
      <c r="F30" s="39"/>
      <c r="G30" s="39"/>
      <c r="H30" s="39"/>
    </row>
    <row r="31" ht="18.0" customHeight="1">
      <c r="A31" s="119"/>
      <c r="B31" s="119"/>
      <c r="C31" s="118"/>
      <c r="D31" s="118"/>
      <c r="E31" s="118"/>
      <c r="F31" s="119"/>
      <c r="G31" s="119"/>
      <c r="H31" s="119"/>
    </row>
    <row r="32" ht="18.0" customHeight="1">
      <c r="A32" s="39"/>
      <c r="B32" s="39"/>
      <c r="C32" s="19"/>
      <c r="D32" s="19"/>
      <c r="E32" s="19"/>
      <c r="F32" s="39"/>
      <c r="G32" s="39"/>
      <c r="H32" s="39"/>
    </row>
    <row r="33" ht="18.0" customHeight="1">
      <c r="A33" s="119"/>
      <c r="B33" s="119"/>
      <c r="C33" s="118"/>
      <c r="D33" s="118"/>
      <c r="E33" s="118"/>
      <c r="F33" s="119"/>
      <c r="G33" s="119"/>
      <c r="H33" s="119"/>
    </row>
    <row r="34" ht="18.0" customHeight="1">
      <c r="A34" s="39"/>
      <c r="B34" s="39"/>
      <c r="C34" s="19"/>
      <c r="D34" s="19"/>
      <c r="E34" s="19"/>
      <c r="F34" s="39"/>
      <c r="G34" s="39"/>
      <c r="H34" s="39"/>
    </row>
    <row r="35" ht="18.0" customHeight="1">
      <c r="A35" s="119"/>
      <c r="B35" s="119"/>
      <c r="C35" s="118"/>
      <c r="D35" s="118"/>
      <c r="E35" s="118"/>
      <c r="F35" s="119"/>
      <c r="G35" s="119"/>
      <c r="H35" s="119"/>
    </row>
    <row r="36" ht="18.0" customHeight="1">
      <c r="A36" s="39"/>
      <c r="B36" s="39"/>
      <c r="C36" s="19"/>
      <c r="D36" s="19"/>
      <c r="E36" s="19"/>
      <c r="F36" s="39"/>
      <c r="G36" s="39"/>
      <c r="H36" s="39"/>
    </row>
    <row r="37" ht="18.0" customHeight="1">
      <c r="A37" s="119"/>
      <c r="B37" s="119"/>
      <c r="C37" s="118"/>
      <c r="D37" s="118"/>
      <c r="E37" s="118"/>
      <c r="F37" s="119"/>
      <c r="G37" s="119"/>
      <c r="H37" s="119"/>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I1"/>
    <mergeCell ref="A15:H15"/>
    <mergeCell ref="A28:H28"/>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51.29"/>
    <col customWidth="1" min="3" max="3" width="36.43"/>
    <col customWidth="1" min="4" max="4" width="20.0"/>
    <col customWidth="1" min="5" max="5" width="24.0"/>
    <col customWidth="1" min="6" max="25" width="8.71"/>
  </cols>
  <sheetData>
    <row r="1" ht="31.5" customHeight="1">
      <c r="A1" s="3" t="s">
        <v>219</v>
      </c>
      <c r="B1" s="5"/>
      <c r="C1" s="5"/>
      <c r="D1" s="5"/>
      <c r="E1" s="6"/>
    </row>
    <row r="3" ht="21.75" customHeight="1">
      <c r="A3" s="8" t="s">
        <v>221</v>
      </c>
      <c r="B3" s="33"/>
      <c r="C3" s="33"/>
      <c r="D3" s="130"/>
    </row>
    <row r="4" ht="19.5" customHeight="1">
      <c r="A4" s="141" t="s">
        <v>222</v>
      </c>
      <c r="B4" s="36"/>
      <c r="C4" s="36"/>
      <c r="D4" s="142" t="s">
        <v>223</v>
      </c>
    </row>
    <row r="5" ht="51.75" customHeight="1">
      <c r="A5" s="143" t="s">
        <v>224</v>
      </c>
      <c r="B5" s="144" t="s">
        <v>225</v>
      </c>
      <c r="C5" s="144" t="s">
        <v>226</v>
      </c>
      <c r="D5" s="145">
        <v>1.0E7</v>
      </c>
    </row>
    <row r="6" ht="51.75" customHeight="1">
      <c r="A6" s="146" t="s">
        <v>228</v>
      </c>
      <c r="B6" s="147" t="s">
        <v>225</v>
      </c>
      <c r="C6" s="147" t="s">
        <v>226</v>
      </c>
      <c r="D6" s="148" t="s">
        <v>230</v>
      </c>
    </row>
    <row r="7" ht="51.75" customHeight="1">
      <c r="A7" s="149" t="s">
        <v>231</v>
      </c>
      <c r="B7" s="150" t="s">
        <v>232</v>
      </c>
      <c r="C7" s="150" t="s">
        <v>233</v>
      </c>
      <c r="D7" s="151">
        <v>2000000.0</v>
      </c>
    </row>
    <row r="8" ht="51.75" customHeight="1">
      <c r="A8" s="152" t="s">
        <v>235</v>
      </c>
      <c r="B8" s="106" t="s">
        <v>236</v>
      </c>
      <c r="C8" s="106" t="s">
        <v>233</v>
      </c>
      <c r="D8" s="153">
        <v>0.0</v>
      </c>
    </row>
    <row r="11" ht="21.75" customHeight="1">
      <c r="A11" s="32" t="s">
        <v>237</v>
      </c>
      <c r="B11" s="33"/>
      <c r="C11" s="33"/>
      <c r="D11" s="130"/>
    </row>
    <row r="12" ht="19.5" customHeight="1">
      <c r="A12" s="36"/>
      <c r="B12" s="36"/>
      <c r="C12" s="36"/>
      <c r="D12" s="36"/>
    </row>
    <row r="13" ht="18.0" customHeight="1">
      <c r="A13" s="19"/>
      <c r="B13" s="39"/>
      <c r="C13" s="39"/>
      <c r="D13" s="39"/>
    </row>
    <row r="14" ht="18.0" customHeight="1">
      <c r="A14" s="118"/>
      <c r="B14" s="119"/>
      <c r="C14" s="119"/>
      <c r="D14" s="119"/>
    </row>
    <row r="15" ht="18.0" customHeight="1">
      <c r="A15" s="19"/>
      <c r="B15" s="39"/>
      <c r="C15" s="39"/>
      <c r="D15" s="39"/>
    </row>
    <row r="16" ht="18.0" customHeight="1">
      <c r="A16" s="118"/>
      <c r="B16" s="119"/>
      <c r="C16" s="119"/>
      <c r="D16" s="119"/>
    </row>
    <row r="17" ht="18.0" customHeight="1">
      <c r="A17" s="19"/>
      <c r="B17" s="39"/>
      <c r="C17" s="39"/>
      <c r="D17" s="39"/>
    </row>
    <row r="18" ht="18.0" customHeight="1">
      <c r="A18" s="118"/>
      <c r="B18" s="119"/>
      <c r="C18" s="119"/>
      <c r="D18" s="119"/>
    </row>
    <row r="19" ht="18.0" customHeight="1">
      <c r="A19" s="19"/>
      <c r="B19" s="39"/>
      <c r="C19" s="39"/>
      <c r="D19" s="39"/>
    </row>
    <row r="20" ht="18.0" customHeight="1">
      <c r="A20" s="118"/>
      <c r="B20" s="119"/>
      <c r="C20" s="119"/>
      <c r="D20" s="119"/>
    </row>
    <row r="21" ht="15.75" customHeight="1"/>
    <row r="22" ht="21.75" customHeight="1">
      <c r="A22" s="32" t="s">
        <v>240</v>
      </c>
      <c r="B22" s="33"/>
      <c r="C22" s="33"/>
      <c r="D22" s="130"/>
    </row>
    <row r="23" ht="19.5" customHeight="1">
      <c r="A23" s="36"/>
      <c r="B23" s="36"/>
      <c r="C23" s="36"/>
      <c r="D23" s="36"/>
    </row>
    <row r="24" ht="18.0" customHeight="1">
      <c r="A24" s="118"/>
      <c r="B24" s="119"/>
      <c r="C24" s="154"/>
      <c r="D24" s="119"/>
    </row>
    <row r="25" ht="18.0" customHeight="1">
      <c r="A25" s="19"/>
      <c r="B25" s="39"/>
      <c r="C25" s="154"/>
      <c r="D25" s="39"/>
    </row>
    <row r="26" ht="18.0" customHeight="1">
      <c r="A26" s="118"/>
      <c r="B26" s="119"/>
      <c r="C26" s="154"/>
      <c r="D26" s="119"/>
    </row>
    <row r="27" ht="18.0" customHeight="1">
      <c r="A27" s="19"/>
      <c r="B27" s="39"/>
      <c r="C27" s="154"/>
      <c r="D27" s="39"/>
    </row>
    <row r="28" ht="18.0" customHeight="1">
      <c r="A28" s="118"/>
      <c r="B28" s="119"/>
      <c r="C28" s="154"/>
      <c r="D28" s="119"/>
    </row>
    <row r="29" ht="18.0" customHeight="1">
      <c r="A29" s="19"/>
      <c r="B29" s="39"/>
      <c r="C29" s="154"/>
      <c r="D29" s="39"/>
    </row>
    <row r="30" ht="18.0" customHeight="1">
      <c r="A30" s="118"/>
      <c r="B30" s="119"/>
      <c r="C30" s="154"/>
      <c r="D30" s="119"/>
    </row>
    <row r="31" ht="18.0" customHeight="1">
      <c r="A31" s="19"/>
      <c r="B31" s="39"/>
      <c r="C31" s="154"/>
      <c r="D31" s="39"/>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A1:E1"/>
    <mergeCell ref="A3:D3"/>
    <mergeCell ref="A11:D11"/>
    <mergeCell ref="A22:D22"/>
  </mergeCells>
  <printOptions/>
  <pageMargins bottom="1.0" footer="0.0" header="0.0" left="0.75" right="0.75" top="1.0"/>
  <pageSetup paperSize="9" orientation="portrait"/>
  <drawing r:id="rId1"/>
</worksheet>
</file>